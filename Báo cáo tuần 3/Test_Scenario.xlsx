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732" activeTab="3"/>
  </bookViews>
  <sheets>
    <sheet name="Tổng quan" sheetId="1" r:id="rId1"/>
    <sheet name="SC_UC02_ThemChiNhanh" sheetId="2" r:id="rId2"/>
    <sheet name="SC_UC03_SuaChiNhanh" sheetId="3" r:id="rId3"/>
    <sheet name="SC_UC04_XoaChiNhanh" sheetId="4" r:id="rId4"/>
    <sheet name="SC_UC05_TaoThuongHieu" sheetId="5" r:id="rId5"/>
    <sheet name="SC_UC08_TaoKho" sheetId="6" r:id="rId6"/>
  </sheets>
  <definedNames>
    <definedName name="_xlnm._FilterDatabase" localSheetId="1" hidden="1">SC_UC02_ThemChiNhanh!$A$1:$E$28</definedName>
    <definedName name="_xlnm._FilterDatabase" localSheetId="2" hidden="1">SC_UC03_SuaChiNhanh!$A$1:$E$24</definedName>
    <definedName name="_xlnm._FilterDatabase" localSheetId="3" hidden="1">SC_UC04_XoaChiNhanh!$A$1:$E$17</definedName>
    <definedName name="_xlnm._FilterDatabase" localSheetId="4" hidden="1">SC_UC05_TaoThuongHieu!$A$1:$E$24</definedName>
    <definedName name="_xlnm._FilterDatabase" localSheetId="5" hidden="1">SC_UC08_TaoKho!$A$1:$E$29</definedName>
  </definedNames>
  <calcPr calcId="144525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6" i="1" l="1"/>
  <c r="C16" i="1"/>
  <c r="B16" i="1"/>
  <c r="D15" i="1"/>
  <c r="C15" i="1"/>
  <c r="B15" i="1"/>
  <c r="D14" i="1"/>
  <c r="C14" i="1"/>
  <c r="B14" i="1"/>
  <c r="D13" i="1"/>
  <c r="C13" i="1"/>
  <c r="B13" i="1"/>
  <c r="D12" i="1"/>
  <c r="C12" i="1"/>
  <c r="B12" i="1"/>
  <c r="B17" i="1" l="1"/>
  <c r="D17" i="1"/>
  <c r="C17" i="1"/>
</calcChain>
</file>

<file path=xl/sharedStrings.xml><?xml version="1.0" encoding="utf-8"?>
<sst xmlns="http://schemas.openxmlformats.org/spreadsheetml/2006/main" count="472" uniqueCount="259">
  <si>
    <t>TEST SCENARIO - 5 USE CASE ĐƯỢC GIAO</t>
  </si>
  <si>
    <t>Tài liệu nguồn</t>
  </si>
  <si>
    <t>SRS_S_HOME_.docx</t>
  </si>
  <si>
    <t>Phạm vi</t>
  </si>
  <si>
    <t>Giai đoạn</t>
  </si>
  <si>
    <t>Tuần 3 - Thiết kế bộ kịch bản kiểm thử tổng thể</t>
  </si>
  <si>
    <t>Ngày lập</t>
  </si>
  <si>
    <t>Người lập</t>
  </si>
  <si>
    <t>Phiên bản</t>
  </si>
  <si>
    <t>1.0</t>
  </si>
  <si>
    <t>THỐNG KÊ</t>
  </si>
  <si>
    <t>Module (UC)</t>
  </si>
  <si>
    <t>Tổng Scenario</t>
  </si>
  <si>
    <t>Manual</t>
  </si>
  <si>
    <t>Automation</t>
  </si>
  <si>
    <t>TỔNG CỘNG</t>
  </si>
  <si>
    <t>Mã Scenario</t>
  </si>
  <si>
    <t>Kịch bản kiểm thử</t>
  </si>
  <si>
    <t>Hình thức</t>
  </si>
  <si>
    <t>Tham chiếu (BR/UC)</t>
  </si>
  <si>
    <t>Ghi chú</t>
  </si>
  <si>
    <t>SC_TCN_01</t>
  </si>
  <si>
    <t>Kiểm tra hiển thị đầy đủ giao diện form Thêm chi nhánh</t>
  </si>
  <si>
    <t>UC Thêm - Mục 2</t>
  </si>
  <si>
    <t>SC_TCN_02</t>
  </si>
  <si>
    <t>Kiểm tra giá trị mặc định khi mở form (Loại chi nhánh, Toggle trạng thái)</t>
  </si>
  <si>
    <t>BR04, BR05</t>
  </si>
  <si>
    <t>SC_TCN_03</t>
  </si>
  <si>
    <t>Kiểm tra responsive form Thêm chi nhánh</t>
  </si>
  <si>
    <t>SC_TCN_04</t>
  </si>
  <si>
    <t>Kiểm tra tạo chi nhánh thành công khi chỉ nhập đủ 2 field bắt buộc</t>
  </si>
  <si>
    <t>BR01</t>
  </si>
  <si>
    <t>SC_TCN_05</t>
  </si>
  <si>
    <t>Kiểm tra tạo chi nhánh thành công khi nhập đầy đủ tất cả field</t>
  </si>
  <si>
    <t>BR01, BR06, BR07</t>
  </si>
  <si>
    <t>SC_TCN_06</t>
  </si>
  <si>
    <t>Kiểm tra tạo chi nhánh với toggle "Đang hoạt động" ở trạng thái tắt</t>
  </si>
  <si>
    <t>BR05</t>
  </si>
  <si>
    <t>SC_TCN_07</t>
  </si>
  <si>
    <t>Kiểm tra tạo chi nhánh với Loại chi nhánh khác giá trị mặc định</t>
  </si>
  <si>
    <t>BR04</t>
  </si>
  <si>
    <t>SC_TCN_08</t>
  </si>
  <si>
    <t>Kiểm tra Mã chi nhánh hợp lệ với ký tự chữ hoa, số, gạch ngang, gạch dưới</t>
  </si>
  <si>
    <t>BR02</t>
  </si>
  <si>
    <t>SC_TCN_09</t>
  </si>
  <si>
    <t>Kiểm tra hệ thống chấp nhận Số điện thoại ở giá trị biên hợp lệ (10 và 11 số)</t>
  </si>
  <si>
    <t>BR06</t>
  </si>
  <si>
    <t>SC_TCN_10</t>
  </si>
  <si>
    <t>Kiểm tra hệ thống chấp nhận Email đúng định dạng</t>
  </si>
  <si>
    <t>BR07</t>
  </si>
  <si>
    <t>SC_TCN_11</t>
  </si>
  <si>
    <t>Kiểm tra hệ thống trim khoảng trắng thừa đầu/cuối của Mã chi nhánh</t>
  </si>
  <si>
    <t>SC_TCN_12</t>
  </si>
  <si>
    <t>Kiểm tra dữ liệu chi nhánh vẫn tồn tại sau khi reload trang</t>
  </si>
  <si>
    <t>Hậu điều kiện thành công</t>
  </si>
  <si>
    <t>SC_TCN_13</t>
  </si>
  <si>
    <t>Kiểm tra chỉ tạo đúng 1 bản ghi, không phát sinh trùng lặp</t>
  </si>
  <si>
    <t>SC_TCN_14</t>
  </si>
  <si>
    <t>Kiểm tra chức năng Hủy tạo mới (khi chưa nhập và khi đã nhập dữ liệu)</t>
  </si>
  <si>
    <t>BR09</t>
  </si>
  <si>
    <t>SC_TCN_15</t>
  </si>
  <si>
    <t>Kiểm tra tạo chi nhánh khi bỏ trống Tên chi nhánh (kể cả chỉ chứa khoảng trắng)</t>
  </si>
  <si>
    <t>SC_TCN_16</t>
  </si>
  <si>
    <t>Kiểm tra tạo chi nhánh khi bỏ trống Mã chi nhánh (kể cả chỉ chứa khoảng trắng)</t>
  </si>
  <si>
    <t>SC_TCN_17</t>
  </si>
  <si>
    <t>Kiểm tra Mã chi nhánh sai định dạng (chữ thường, ký tự đặc biệt, dấu tiếng Việt, khoảng trắng giữa chuỗi)</t>
  </si>
  <si>
    <t>SC_TCN_18</t>
  </si>
  <si>
    <t>Kiểm tra tạo chi nhánh với Mã chi nhánh bị trùng (trùng hoàn toàn, khác hoa/thường, trùng sau khi trim)</t>
  </si>
  <si>
    <t>SC_TCN_19</t>
  </si>
  <si>
    <t>Kiểm tra Số điện thoại sai định dạng (dưới 10 số, trên 11 số, chứa ký tự chữ/đặc biệt)</t>
  </si>
  <si>
    <t>SC_TCN_20</t>
  </si>
  <si>
    <t>Kiểm tra Email sai định dạng</t>
  </si>
  <si>
    <t>SC_TCN_21</t>
  </si>
  <si>
    <t>Kiểm tra cơ chế chống submit trùng khi double click nút "Tạo mới"</t>
  </si>
  <si>
    <t>SC_TCN_22</t>
  </si>
  <si>
    <t>Kiểm tra Tên chi nhánh vượt quá giới hạn ký tự cho phép</t>
  </si>
  <si>
    <t>BR03 (UC Sửa)</t>
  </si>
  <si>
    <t>SC_TCN_23</t>
  </si>
  <si>
    <t>Kiểm tra nhập chuỗi script/SQL injection vào các field văn bản</t>
  </si>
  <si>
    <t>Bảo mật</t>
  </si>
  <si>
    <t>SC_TCN_24</t>
  </si>
  <si>
    <t>Kiểm tra hành vi hệ thống khi mất kết nối mạng trong lúc submit form</t>
  </si>
  <si>
    <t>Xử lý ngoại lệ</t>
  </si>
  <si>
    <t>SC_SCN_01</t>
  </si>
  <si>
    <t>Kiểm tra hiển thị icon/button "Sửa" tại danh sách chi nhánh</t>
  </si>
  <si>
    <t>UC Sửa - Mục 2</t>
  </si>
  <si>
    <t>SC_SCN_02</t>
  </si>
  <si>
    <t>Kiểm tra form Sửa load sẵn đúng dữ liệu hiện tại của chi nhánh</t>
  </si>
  <si>
    <t>SC_SCN_03</t>
  </si>
  <si>
    <t>Kiểm tra field "Mã chi nhánh" ở trạng thái disable/readonly khi sửa</t>
  </si>
  <si>
    <t>SC_SCN_04</t>
  </si>
  <si>
    <t>Kiểm tra responsive màn hình Sửa chi nhánh</t>
  </si>
  <si>
    <t>SC_SCN_05</t>
  </si>
  <si>
    <t>Kiểm tra cập nhật thành công khi sửa 1 hoặc nhiều field hợp lệ</t>
  </si>
  <si>
    <t>SC_SCN_06</t>
  </si>
  <si>
    <t>Kiểm tra field không thao tác giữ nguyên giá trị cũ sau khi lưu</t>
  </si>
  <si>
    <t>SC_SCN_07</t>
  </si>
  <si>
    <t>Kiểm tra chuyển đổi trạng thái Đang hoạt động / Ngừng hoạt động</t>
  </si>
  <si>
    <t>SC_SCN_08</t>
  </si>
  <si>
    <t>Kiểm tra lưu thành công khi xóa trắng các field tùy chọn (Địa chỉ, SĐT, Email)</t>
  </si>
  <si>
    <t>SC_SCN_09</t>
  </si>
  <si>
    <t>Kiểm tra cập nhật SĐT và Email hợp lệ</t>
  </si>
  <si>
    <t>SC_SCN_10</t>
  </si>
  <si>
    <t>Kiểm tra dữ liệu sau cập nhật vẫn tồn tại sau khi reload trang</t>
  </si>
  <si>
    <t>SC_SCN_11</t>
  </si>
  <si>
    <t>Kiểm tra lưu khi không thay đổi bất kỳ field nào</t>
  </si>
  <si>
    <t>SC_SCN_12</t>
  </si>
  <si>
    <t>Kiểm tra chức năng Hủy chỉnh sửa (đã và chưa thay đổi dữ liệu)</t>
  </si>
  <si>
    <t>SC_SCN_13</t>
  </si>
  <si>
    <t>Kiểm tra sửa chi nhánh khi xóa trắng Tên chi nhánh (kể cả chỉ chứa khoảng trắng)</t>
  </si>
  <si>
    <t>BR03</t>
  </si>
  <si>
    <t>SC_SCN_14</t>
  </si>
  <si>
    <t>Kiểm tra Tên chi nhánh vượt quá giới hạn ký tự khi sửa</t>
  </si>
  <si>
    <t>SC_SCN_15</t>
  </si>
  <si>
    <t>Kiểm tra cập nhật SĐT sai định dạng (dưới/trên biên, chứa ký tự không hợp lệ)</t>
  </si>
  <si>
    <t>SC_SCN_16</t>
  </si>
  <si>
    <t>Kiểm tra cập nhật Email sai định dạng</t>
  </si>
  <si>
    <t>SC_SCN_17</t>
  </si>
  <si>
    <t>Kiểm tra cơ chế chống submit trùng khi double click nút "Lưu"/"Cập nhật"</t>
  </si>
  <si>
    <t>SC_SCN_18</t>
  </si>
  <si>
    <t>Kiểm tra sửa chi nhánh đã bị người dùng khác xóa trước đó (đồng thời/race condition)</t>
  </si>
  <si>
    <t>SC_SCN_19</t>
  </si>
  <si>
    <t>Kiểm tra nhập chuỗi script/SQL injection khi sửa dữ liệu</t>
  </si>
  <si>
    <t>SC_SCN_20</t>
  </si>
  <si>
    <t>Kiểm tra hành vi hệ thống khi mất kết nối mạng trong lúc lưu</t>
  </si>
  <si>
    <t>SC_XCN_01</t>
  </si>
  <si>
    <t>Kiểm tra hiển thị icon/button "Xóa" tại danh sách chi nhánh</t>
  </si>
  <si>
    <t>UC Xóa - Mục 2</t>
  </si>
  <si>
    <t>SC_XCN_02</t>
  </si>
  <si>
    <t>Kiểm tra nội dung và giao diện popup xác nhận xóa</t>
  </si>
  <si>
    <t>SC_XCN_03</t>
  </si>
  <si>
    <t>Kiểm tra xóa thành công chi nhánh không có dữ liệu liên kết</t>
  </si>
  <si>
    <t>SC_XCN_04</t>
  </si>
  <si>
    <t>Kiểm tra dữ liệu đã xóa không còn hiển thị sau khi reload trang</t>
  </si>
  <si>
    <t>SC_XCN_05</t>
  </si>
  <si>
    <t>Kiểm tra chi nhánh đã xóa được đồng bộ loại bỏ khỏi các màn hình tham chiếu (dropdown...)</t>
  </si>
  <si>
    <t>SC_XCN_06</t>
  </si>
  <si>
    <t>Kiểm tra hủy thao tác xóa từ popup xác nhận (bằng nút Hủy/Không hoặc đóng popup)</t>
  </si>
  <si>
    <t>Hậu điều kiện hủy</t>
  </si>
  <si>
    <t>SC_XCN_07</t>
  </si>
  <si>
    <t>Kiểm tra xóa lần lượt nhiều chi nhánh liên tiếp</t>
  </si>
  <si>
    <t>BR01, BR03</t>
  </si>
  <si>
    <t>SC_XCN_08</t>
  </si>
  <si>
    <t>Kiểm tra xóa chi nhánh cuối cùng còn lại trong danh sách (empty state)</t>
  </si>
  <si>
    <t>SC_XCN_09</t>
  </si>
  <si>
    <t>Kiểm tra hệ thống chặn xóa chi nhánh đang có dữ liệu liên kết</t>
  </si>
  <si>
    <t>Main Flow bước 2</t>
  </si>
  <si>
    <t>SC_XCN_10</t>
  </si>
  <si>
    <t>Kiểm tra cơ chế chống double click vào nút xác nhận xóa</t>
  </si>
  <si>
    <t>SC_XCN_11</t>
  </si>
  <si>
    <t>Kiểm tra xóa chi nhánh đã bị người dùng khác xóa trước đó (race condition)</t>
  </si>
  <si>
    <t>SC_XCN_12</t>
  </si>
  <si>
    <t>Kiểm tra hành vi hệ thống khi mất kết nối mạng lúc xác nhận xóa</t>
  </si>
  <si>
    <t>SC_XCN_13</t>
  </si>
  <si>
    <t>Kiểm tra gọi trực tiếp API xóa với ID không tồn tại</t>
  </si>
  <si>
    <t>Bảo mật/API</t>
  </si>
  <si>
    <t>SC_TH_01</t>
  </si>
  <si>
    <t>Kiểm tra hiển thị đầy đủ giao diện form Tạo thương hiệu</t>
  </si>
  <si>
    <t>UC Thương hiệu - Mục 2</t>
  </si>
  <si>
    <t>SC_TH_02</t>
  </si>
  <si>
    <t>Kiểm tra giá trị mặc định khi mở form (Thứ tự hiển thị = 0, Trạng thái = Kích hoạt)</t>
  </si>
  <si>
    <t>SC_TH_03</t>
  </si>
  <si>
    <t>Kiểm tra khu vực upload Logo (kéo-thả, click chọn file, hiển thị preview)</t>
  </si>
  <si>
    <t>SC_TH_04</t>
  </si>
  <si>
    <t>Kiểm tra hoạt động nút scroll-to-top</t>
  </si>
  <si>
    <t>SC_TH_05</t>
  </si>
  <si>
    <t>Kiểm tra tạo thương hiệu thành công khi chỉ nhập Tên thương hiệu (bắt buộc)</t>
  </si>
  <si>
    <t>SC_TH_06</t>
  </si>
  <si>
    <t>Kiểm tra tạo thương hiệu thành công khi nhập đầy đủ tất cả field kể cả Logo</t>
  </si>
  <si>
    <t>SC_TH_07</t>
  </si>
  <si>
    <t>Kiểm tra hệ thống tự động sinh Slug khi để trống</t>
  </si>
  <si>
    <t>SC_TH_08</t>
  </si>
  <si>
    <t>Kiểm tra tạo thương hiệu với Slug nhập tay hợp lệ (chữ thường, số, gạch ngang)</t>
  </si>
  <si>
    <t>SC_TH_09</t>
  </si>
  <si>
    <t>Kiểm tra upload Logo đúng định dạng ảnh (jpg/png) và xem trước/thay đổi/xóa logo</t>
  </si>
  <si>
    <t>SC_TH_10</t>
  </si>
  <si>
    <t>Kiểm tra nhập Thứ tự hiển thị hợp lệ (số nguyên không âm)</t>
  </si>
  <si>
    <t>SC_TH_11</t>
  </si>
  <si>
    <t>Kiểm tra chọn Trạng thái khác giá trị mặc định trước khi tạo</t>
  </si>
  <si>
    <t>SC_TH_12</t>
  </si>
  <si>
    <t>Kiểm tra dữ liệu thương hiệu vẫn tồn tại sau khi reload trang</t>
  </si>
  <si>
    <t>SC_TH_13</t>
  </si>
  <si>
    <t>Kiểm tra tạo thương hiệu khi bỏ trống/chỉ chứa khoảng trắng ở Tên thương hiệu</t>
  </si>
  <si>
    <t>SC_TH_14</t>
  </si>
  <si>
    <t>Kiểm tra tạo thương hiệu với Tên thương hiệu bị trùng (kể cả sau khi trim)</t>
  </si>
  <si>
    <t>SC_TH_15</t>
  </si>
  <si>
    <t>Kiểm tra tạo thương hiệu với Slug bị trùng</t>
  </si>
  <si>
    <t>SC_TH_16</t>
  </si>
  <si>
    <t>Kiểm tra Slug sai định dạng (chứa chữ hoa, khoảng trắng, ký tự đặc biệt)</t>
  </si>
  <si>
    <t>SC_TH_17</t>
  </si>
  <si>
    <t>Kiểm tra upload Logo sai định dạng file (không phải jpg/png) hoặc quá dung lượng</t>
  </si>
  <si>
    <t>SC_TH_18</t>
  </si>
  <si>
    <t>Kiểm tra nhập Thứ tự hiển thị là số âm hoặc không phải số</t>
  </si>
  <si>
    <t>SC_TH_19</t>
  </si>
  <si>
    <t>Kiểm tra cơ chế chống submit trùng khi double click nút "Tạo thương hiệu mới"</t>
  </si>
  <si>
    <t>SC_TH_20</t>
  </si>
  <si>
    <t>Kiểm tra nhập chuỗi script/SQL injection vào Tên thương hiệu</t>
  </si>
  <si>
    <t>SC_TK_01</t>
  </si>
  <si>
    <t>Kiểm tra hiển thị đầy đủ giao diện form Tạo kho (2 section: Thông tin kho, Địa chỉ)</t>
  </si>
  <si>
    <t>UC Kho - Mục 2</t>
  </si>
  <si>
    <t>SC_TK_02</t>
  </si>
  <si>
    <t>Kiểm tra giá trị mặc định khi mở form (Trạng thái = Hoạt động, Đơn vị hành chính = Cũ (3 cấp), Quận/Huyện và Phường/Xã disable)</t>
  </si>
  <si>
    <t>BR03, BR04, BR05</t>
  </si>
  <si>
    <t>SC_TK_03</t>
  </si>
  <si>
    <t>Kiểm tra chuyển đổi layout khi chọn Đơn vị hành chính "Mới (2 cấp)" (chỉ còn Tỉnh/Thành phố và Phường/Xã)</t>
  </si>
  <si>
    <t>SC_TK_04</t>
  </si>
  <si>
    <t>Kiểm tra dropdown Quận/Huyện chuyển sang active và load đúng danh sách khi chọn Tỉnh/Thành phố</t>
  </si>
  <si>
    <t>SC_TK_05</t>
  </si>
  <si>
    <t>Kiểm tra dropdown Phường/Xã chuyển sang active và load đúng danh sách khi chọn Quận/Huyện</t>
  </si>
  <si>
    <t>SC_TK_06</t>
  </si>
  <si>
    <t>Kiểm tra Quận/Huyện và Phường/Xã được reset khi đổi lại Tỉnh/Thành phố khác sau khi đã chọn</t>
  </si>
  <si>
    <t>SC_TK_07</t>
  </si>
  <si>
    <t>Kiểm tra tạo kho chính thức thành công khi chỉ nhập đủ 2 field bắt buộc (Mã kho, Tên kho)</t>
  </si>
  <si>
    <t>SC_TK_08</t>
  </si>
  <si>
    <t>Kiểm tra tạo kho chính thức thành công khi nhập đầy đủ tất cả field kể cả địa chỉ 3 cấp</t>
  </si>
  <si>
    <t>SC_TK_09</t>
  </si>
  <si>
    <t>Kiểm tra tạo kho thành công với Đơn vị hành chính "Mới (2 cấp)"</t>
  </si>
  <si>
    <t>SC_TK_10</t>
  </si>
  <si>
    <t>Kiểm tra tạo kho thành công khi chọn Chi nhánh và Trạng thái khác giá trị mặc định</t>
  </si>
  <si>
    <t>SC_TK_11</t>
  </si>
  <si>
    <t>Kiểm tra Mã kho hợp lệ chứa chữ cái, số, gạch ngang, gạch dưới</t>
  </si>
  <si>
    <t>SC_TK_12</t>
  </si>
  <si>
    <t>Kiểm tra hệ thống trim khoảng trắng thừa đầu/cuối của Mã kho</t>
  </si>
  <si>
    <t>SC_TK_13</t>
  </si>
  <si>
    <t>Kiểm tra dữ liệu kho vẫn tồn tại sau khi reload trang</t>
  </si>
  <si>
    <t>SC_TK_14</t>
  </si>
  <si>
    <t>Kiểm tra Lưu nháp thành công khi dữ liệu chưa đầy đủ, kể cả thiếu Mã kho/Tên kho</t>
  </si>
  <si>
    <t>SC_TK_15</t>
  </si>
  <si>
    <t>Kiểm tra mở lại bản nháp từ danh sách, dữ liệu load đúng vào form</t>
  </si>
  <si>
    <t>SC_TK_16</t>
  </si>
  <si>
    <t>Kiểm tra bổ sung đủ thông tin từ bản nháp và chuyển sang trạng thái chính thức qua nút "Tạo"</t>
  </si>
  <si>
    <t>SC_TK_17</t>
  </si>
  <si>
    <t>Kiểm tra tạo kho khi bỏ trống Mã kho (kể cả chỉ chứa khoảng trắng)</t>
  </si>
  <si>
    <t>SC_TK_18</t>
  </si>
  <si>
    <t>Kiểm tra tạo kho khi bỏ trống Tên kho (kể cả chỉ chứa khoảng trắng)</t>
  </si>
  <si>
    <t>SC_TK_19</t>
  </si>
  <si>
    <t>Kiểm tra Mã kho chứa ký tự không hợp lệ (ký tự đặc biệt, dấu tiếng Việt, khoảng trắng ở giữa)</t>
  </si>
  <si>
    <t>SC_TK_20</t>
  </si>
  <si>
    <t>Kiểm tra tạo kho với Mã kho bị trùng (trùng hoàn toàn, khác hoa/thường, trùng sau khi trim)</t>
  </si>
  <si>
    <t>SC_TK_21</t>
  </si>
  <si>
    <t>Kiểm tra Quận/Huyện hoặc Phường/Xã vẫn ở trạng thái disable khi chưa chọn cấp cha tương ứng</t>
  </si>
  <si>
    <t>SC_TK_22</t>
  </si>
  <si>
    <t>Kiểm tra tạo chính thức từ bản nháp còn thiếu dữ liệu bắt buộc (phải validate đầy đủ như tạo mới)</t>
  </si>
  <si>
    <t>SC_TK_23</t>
  </si>
  <si>
    <t>Kiểm tra cơ chế chống submit trùng khi double click nút "Tạo"</t>
  </si>
  <si>
    <t>SC_TK_24</t>
  </si>
  <si>
    <t>Kiểm tra nhập chuỗi script/SQL injection vào các field văn bản (Địa chỉ chi tiết, Ghi chú)</t>
  </si>
  <si>
    <t>SC_TK_25</t>
  </si>
  <si>
    <t>Dương Ánh</t>
  </si>
  <si>
    <t>SC_UC02_ThemChiNhanh</t>
  </si>
  <si>
    <t>SC_UC03_SuaChiNhanh</t>
  </si>
  <si>
    <t>SC_UC04_XoaChiNhanh</t>
  </si>
  <si>
    <t>SC_UC05_TaoThuongHieu</t>
  </si>
  <si>
    <t>SC_UC08_TaoKho</t>
  </si>
  <si>
    <t>15/09/2026</t>
  </si>
  <si>
    <t>1.1. Kiểm thử giao diện</t>
  </si>
  <si>
    <t>1.2. Kiểm thử trường hợp hợp lệ</t>
  </si>
  <si>
    <t>1.3. Kiểm thử trường hợp không hợp lệ</t>
  </si>
  <si>
    <t>UC-02 Thêm chi nhánh, UC-03 Sửa chi nhánh, UC-04 Xóa chi nhánh, UC-05 Tạo thương hiệu, UC-08 Tạo kho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</si>
</sst>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charset val="1"/>
    </font>
    <font>
      <sz val="11"/>
      <name val="Arial"/>
      <charset val="1"/>
    </font>
    <font>
      <b/>
      <sz val="12"/>
      <color rgb="FFD9531E"/>
      <name val="Arial"/>
      <charset val="1"/>
    </font>
    <font>
      <sz val="13"/>
      <color rgb="FFFF0000"/>
      <name val="Times New Roman"/>
      <family val="1"/>
    </font>
    <font>
      <sz val="13"/>
      <color theme="1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b/>
      <sz val="13"/>
      <color theme="1"/>
      <name val="Times New Roman"/>
      <family val="1"/>
    </font>
    <font>
      <b/>
      <sz val="13"/>
      <color rgb="FFFFFFFF"/>
      <name val="Times New Roman"/>
      <family val="1"/>
    </font>
    <font>
      <b/>
      <sz val="12"/>
      <color rgb="FFFFFFFF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3" tint="-0.249977111117893"/>
        <bgColor rgb="FF9933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AF7EE"/>
      </patternFill>
    </fill>
    <fill>
      <patternFill patternType="solid">
        <fgColor theme="0"/>
        <bgColor rgb="FFEAF3FB"/>
      </patternFill>
    </fill>
    <fill>
      <patternFill patternType="solid">
        <fgColor theme="0" tint="-0.249977111117893"/>
        <bgColor rgb="FF993300"/>
      </patternFill>
    </fill>
    <fill>
      <patternFill patternType="solid">
        <fgColor theme="0" tint="-0.249977111117893"/>
        <bgColor rgb="FFEAF7EE"/>
      </patternFill>
    </fill>
    <fill>
      <patternFill patternType="solid">
        <fgColor theme="0" tint="-0.249977111117893"/>
        <bgColor rgb="FFEAF3FB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/>
    <xf numFmtId="0" fontId="1" fillId="0" borderId="0" xfId="0" applyFont="1" applyBorder="1" applyAlignment="1">
      <alignment vertical="top" wrapText="1"/>
    </xf>
    <xf numFmtId="0" fontId="3" fillId="0" borderId="0" xfId="0" applyFont="1"/>
    <xf numFmtId="0" fontId="4" fillId="0" borderId="0" xfId="0" applyFont="1"/>
    <xf numFmtId="0" fontId="7" fillId="3" borderId="0" xfId="0" applyFont="1" applyFill="1"/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2" xfId="0" applyFont="1" applyBorder="1" applyAlignment="1"/>
    <xf numFmtId="0" fontId="6" fillId="0" borderId="3" xfId="0" applyFont="1" applyBorder="1" applyAlignment="1"/>
    <xf numFmtId="0" fontId="6" fillId="0" borderId="4" xfId="0" applyFont="1" applyBorder="1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6" fillId="0" borderId="2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/>
    <xf numFmtId="0" fontId="10" fillId="0" borderId="0" xfId="0" applyFont="1"/>
    <xf numFmtId="0" fontId="10" fillId="3" borderId="0" xfId="0" applyFont="1" applyFill="1"/>
    <xf numFmtId="0" fontId="10" fillId="3" borderId="0" xfId="0" applyFont="1" applyFill="1" applyAlignment="1"/>
    <xf numFmtId="0" fontId="10" fillId="0" borderId="0" xfId="0" applyFont="1" applyAlignment="1"/>
    <xf numFmtId="0" fontId="11" fillId="4" borderId="1" xfId="0" applyFont="1" applyFill="1" applyBorder="1" applyAlignment="1">
      <alignment horizontal="center" vertical="top"/>
    </xf>
    <xf numFmtId="0" fontId="12" fillId="4" borderId="1" xfId="0" applyFont="1" applyFill="1" applyBorder="1" applyAlignment="1">
      <alignment vertical="top" wrapText="1"/>
    </xf>
    <xf numFmtId="0" fontId="12" fillId="4" borderId="1" xfId="0" applyFont="1" applyFill="1" applyBorder="1" applyAlignment="1">
      <alignment horizontal="center" vertical="top" wrapText="1"/>
    </xf>
    <xf numFmtId="0" fontId="11" fillId="5" borderId="1" xfId="0" applyFont="1" applyFill="1" applyBorder="1" applyAlignment="1">
      <alignment horizontal="center" vertical="top"/>
    </xf>
    <xf numFmtId="0" fontId="12" fillId="5" borderId="1" xfId="0" applyFont="1" applyFill="1" applyBorder="1" applyAlignment="1">
      <alignment vertical="top" wrapText="1"/>
    </xf>
    <xf numFmtId="0" fontId="12" fillId="5" borderId="1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center" vertical="top"/>
    </xf>
    <xf numFmtId="0" fontId="11" fillId="7" borderId="1" xfId="0" applyFont="1" applyFill="1" applyBorder="1" applyAlignment="1">
      <alignment horizontal="left" vertical="top"/>
    </xf>
    <xf numFmtId="0" fontId="11" fillId="8" borderId="1" xfId="0" applyFont="1" applyFill="1" applyBorder="1" applyAlignment="1">
      <alignment horizontal="center" vertical="top"/>
    </xf>
    <xf numFmtId="0" fontId="11" fillId="7" borderId="2" xfId="0" applyFont="1" applyFill="1" applyBorder="1" applyAlignment="1">
      <alignment horizontal="left" vertical="top"/>
    </xf>
    <xf numFmtId="0" fontId="11" fillId="7" borderId="3" xfId="0" applyFont="1" applyFill="1" applyBorder="1" applyAlignment="1">
      <alignment horizontal="left" vertical="top"/>
    </xf>
    <xf numFmtId="0" fontId="11" fillId="7" borderId="4" xfId="0" applyFont="1" applyFill="1" applyBorder="1" applyAlignment="1">
      <alignment horizontal="left" vertical="top"/>
    </xf>
    <xf numFmtId="0" fontId="11" fillId="7" borderId="2" xfId="0" applyFont="1" applyFill="1" applyBorder="1" applyAlignment="1">
      <alignment vertical="top"/>
    </xf>
    <xf numFmtId="0" fontId="11" fillId="7" borderId="3" xfId="0" applyFont="1" applyFill="1" applyBorder="1" applyAlignment="1">
      <alignment vertical="top"/>
    </xf>
    <xf numFmtId="0" fontId="11" fillId="7" borderId="4" xfId="0" applyFont="1" applyFill="1" applyBorder="1" applyAlignment="1">
      <alignment vertical="top"/>
    </xf>
    <xf numFmtId="0" fontId="11" fillId="4" borderId="1" xfId="0" applyFont="1" applyFill="1" applyBorder="1" applyAlignment="1">
      <alignment horizontal="center" vertical="top" wrapText="1"/>
    </xf>
    <xf numFmtId="0" fontId="11" fillId="5" borderId="1" xfId="0" applyFont="1" applyFill="1" applyBorder="1" applyAlignment="1">
      <alignment horizontal="center" vertical="top" wrapText="1"/>
    </xf>
    <xf numFmtId="0" fontId="9" fillId="6" borderId="1" xfId="0" applyFont="1" applyFill="1" applyBorder="1" applyAlignment="1">
      <alignment vertical="center"/>
    </xf>
    <xf numFmtId="0" fontId="11" fillId="6" borderId="1" xfId="0" applyFont="1" applyFill="1" applyBorder="1" applyAlignment="1">
      <alignment vertical="center"/>
    </xf>
    <xf numFmtId="0" fontId="12" fillId="4" borderId="1" xfId="0" applyFont="1" applyFill="1" applyBorder="1" applyAlignment="1">
      <alignment vertical="top"/>
    </xf>
    <xf numFmtId="0" fontId="12" fillId="4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DF1EC"/>
      <rgbColor rgb="FFEAF7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F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9531E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zoomScale="90" zoomScaleNormal="90" workbookViewId="0">
      <selection activeCell="G14" sqref="G14"/>
    </sheetView>
  </sheetViews>
  <sheetFormatPr defaultColWidth="8.6328125" defaultRowHeight="14.5" x14ac:dyDescent="0.35"/>
  <cols>
    <col min="1" max="1" width="28.1796875" customWidth="1"/>
    <col min="2" max="2" width="20" customWidth="1"/>
    <col min="3" max="6" width="13" customWidth="1"/>
    <col min="7" max="7" width="19.54296875" customWidth="1"/>
  </cols>
  <sheetData>
    <row r="1" spans="1:11" ht="16.5" x14ac:dyDescent="0.35">
      <c r="A1" s="26" t="s">
        <v>0</v>
      </c>
      <c r="B1" s="3"/>
      <c r="C1" s="3"/>
      <c r="D1" s="4"/>
      <c r="E1" s="4"/>
      <c r="F1" s="4"/>
      <c r="G1" s="4"/>
    </row>
    <row r="2" spans="1:11" ht="16.5" x14ac:dyDescent="0.35">
      <c r="A2" s="4"/>
      <c r="B2" s="4"/>
      <c r="C2" s="4"/>
      <c r="D2" s="4"/>
      <c r="E2" s="4"/>
      <c r="F2" s="4"/>
      <c r="G2" s="4"/>
    </row>
    <row r="3" spans="1:11" ht="16.5" x14ac:dyDescent="0.35">
      <c r="A3" s="10" t="s">
        <v>1</v>
      </c>
      <c r="B3" s="18" t="s">
        <v>2</v>
      </c>
      <c r="C3" s="19"/>
      <c r="D3" s="19"/>
      <c r="E3" s="19"/>
      <c r="F3" s="19"/>
      <c r="G3" s="19"/>
      <c r="H3" s="19"/>
      <c r="I3" s="19"/>
      <c r="J3" s="19"/>
      <c r="K3" s="20"/>
    </row>
    <row r="4" spans="1:11" ht="16.5" x14ac:dyDescent="0.35">
      <c r="A4" s="10" t="s">
        <v>3</v>
      </c>
      <c r="B4" s="12" t="s">
        <v>258</v>
      </c>
      <c r="C4" s="13"/>
      <c r="D4" s="13"/>
      <c r="E4" s="13"/>
      <c r="F4" s="13"/>
      <c r="G4" s="14"/>
      <c r="H4" s="15"/>
      <c r="I4" s="16"/>
      <c r="J4" s="16"/>
      <c r="K4" s="17"/>
    </row>
    <row r="5" spans="1:11" ht="16.5" x14ac:dyDescent="0.35">
      <c r="A5" s="10" t="s">
        <v>4</v>
      </c>
      <c r="B5" s="18" t="s">
        <v>5</v>
      </c>
      <c r="C5" s="19"/>
      <c r="D5" s="19"/>
      <c r="E5" s="19"/>
      <c r="F5" s="19"/>
      <c r="G5" s="19"/>
      <c r="H5" s="19"/>
      <c r="I5" s="19"/>
      <c r="J5" s="19"/>
      <c r="K5" s="20"/>
    </row>
    <row r="6" spans="1:11" ht="16.5" x14ac:dyDescent="0.35">
      <c r="A6" s="10" t="s">
        <v>6</v>
      </c>
      <c r="B6" s="18" t="s">
        <v>254</v>
      </c>
      <c r="C6" s="19"/>
      <c r="D6" s="19"/>
      <c r="E6" s="19"/>
      <c r="F6" s="19"/>
      <c r="G6" s="19"/>
      <c r="H6" s="19"/>
      <c r="I6" s="19"/>
      <c r="J6" s="19"/>
      <c r="K6" s="20"/>
    </row>
    <row r="7" spans="1:11" ht="16.5" x14ac:dyDescent="0.35">
      <c r="A7" s="10" t="s">
        <v>7</v>
      </c>
      <c r="B7" s="21" t="s">
        <v>248</v>
      </c>
      <c r="C7" s="22"/>
      <c r="D7" s="22"/>
      <c r="E7" s="22"/>
      <c r="F7" s="22"/>
      <c r="G7" s="22"/>
      <c r="H7" s="22"/>
      <c r="I7" s="22"/>
      <c r="J7" s="22"/>
      <c r="K7" s="23"/>
    </row>
    <row r="8" spans="1:11" ht="16.5" x14ac:dyDescent="0.35">
      <c r="A8" s="10" t="s">
        <v>8</v>
      </c>
      <c r="B8" s="18" t="s">
        <v>9</v>
      </c>
      <c r="C8" s="19"/>
      <c r="D8" s="19"/>
      <c r="E8" s="19"/>
      <c r="F8" s="19"/>
      <c r="G8" s="19"/>
      <c r="H8" s="19"/>
      <c r="I8" s="19"/>
      <c r="J8" s="19"/>
      <c r="K8" s="20"/>
    </row>
    <row r="9" spans="1:11" ht="16.5" x14ac:dyDescent="0.35">
      <c r="A9" s="4"/>
      <c r="B9" s="24"/>
      <c r="C9" s="24"/>
      <c r="D9" s="24"/>
      <c r="E9" s="24"/>
      <c r="F9" s="24"/>
      <c r="G9" s="24"/>
      <c r="H9" s="25"/>
      <c r="I9" s="25"/>
      <c r="J9" s="25"/>
      <c r="K9" s="25"/>
    </row>
    <row r="10" spans="1:11" ht="16.5" x14ac:dyDescent="0.35">
      <c r="A10" s="5" t="s">
        <v>10</v>
      </c>
      <c r="B10" s="4"/>
      <c r="C10" s="4"/>
      <c r="D10" s="4"/>
      <c r="E10" s="4"/>
      <c r="F10" s="4"/>
      <c r="G10" s="4"/>
    </row>
    <row r="11" spans="1:11" ht="16.5" x14ac:dyDescent="0.35">
      <c r="A11" s="6" t="s">
        <v>11</v>
      </c>
      <c r="B11" s="7" t="s">
        <v>12</v>
      </c>
      <c r="C11" s="7" t="s">
        <v>13</v>
      </c>
      <c r="D11" s="7" t="s">
        <v>14</v>
      </c>
    </row>
    <row r="12" spans="1:11" ht="16.5" x14ac:dyDescent="0.35">
      <c r="A12" s="8" t="s">
        <v>249</v>
      </c>
      <c r="B12" s="9">
        <f>COUNTA(SC_UC02_ThemChiNhanh!A3:A28)</f>
        <v>24</v>
      </c>
      <c r="C12" s="9">
        <f>COUNTIF(SC_UC02_ThemChiNhanh!C3:C28,"Manual")</f>
        <v>7</v>
      </c>
      <c r="D12" s="9">
        <f>COUNTIF(SC_UC02_ThemChiNhanh!C3:C28,"Automation")</f>
        <v>17</v>
      </c>
    </row>
    <row r="13" spans="1:11" ht="16.5" x14ac:dyDescent="0.35">
      <c r="A13" s="8" t="s">
        <v>250</v>
      </c>
      <c r="B13" s="9">
        <f>COUNTA(SC_UC03_SuaChiNhanh!A3:A24)</f>
        <v>20</v>
      </c>
      <c r="C13" s="9">
        <f>COUNTIF(SC_UC03_SuaChiNhanh!C3:C24,"Manual")</f>
        <v>9</v>
      </c>
      <c r="D13" s="9">
        <f>COUNTIF(SC_UC03_SuaChiNhanh!C3:C24,"Automation")</f>
        <v>11</v>
      </c>
    </row>
    <row r="14" spans="1:11" ht="16.5" x14ac:dyDescent="0.35">
      <c r="A14" s="8" t="s">
        <v>251</v>
      </c>
      <c r="B14" s="9">
        <f>COUNTA(SC_UC04_XoaChiNhanh!A3:A17)</f>
        <v>13</v>
      </c>
      <c r="C14" s="9">
        <f>COUNTIF(SC_UC04_XoaChiNhanh!C3:C17,"Manual")</f>
        <v>6</v>
      </c>
      <c r="D14" s="9">
        <f>COUNTIF(SC_UC04_XoaChiNhanh!C3:C17,"Automation")</f>
        <v>7</v>
      </c>
    </row>
    <row r="15" spans="1:11" ht="16.5" x14ac:dyDescent="0.35">
      <c r="A15" s="8" t="s">
        <v>252</v>
      </c>
      <c r="B15" s="9">
        <f>COUNTA(SC_UC05_TaoThuongHieu!A3:A24)</f>
        <v>20</v>
      </c>
      <c r="C15" s="9">
        <f>COUNTIF(SC_UC05_TaoThuongHieu!C3:C24,"Manual")</f>
        <v>7</v>
      </c>
      <c r="D15" s="9">
        <f>COUNTIF(SC_UC05_TaoThuongHieu!C3:C24,"Automation")</f>
        <v>13</v>
      </c>
    </row>
    <row r="16" spans="1:11" ht="16.5" x14ac:dyDescent="0.35">
      <c r="A16" s="8" t="s">
        <v>253</v>
      </c>
      <c r="B16" s="9">
        <f>COUNTA(SC_UC08_TaoKho!A3:A29)</f>
        <v>25</v>
      </c>
      <c r="C16" s="9">
        <f>COUNTIF(SC_UC08_TaoKho!C3:C29,"Manual")</f>
        <v>7</v>
      </c>
      <c r="D16" s="9">
        <f>COUNTIF(SC_UC08_TaoKho!C3:C29,"Automation")</f>
        <v>18</v>
      </c>
    </row>
    <row r="17" spans="1:7" ht="16.5" x14ac:dyDescent="0.35">
      <c r="A17" s="10" t="s">
        <v>15</v>
      </c>
      <c r="B17" s="11">
        <f t="shared" ref="B17:D17" si="0">SUM(B12:B16)</f>
        <v>102</v>
      </c>
      <c r="C17" s="11">
        <f t="shared" si="0"/>
        <v>36</v>
      </c>
      <c r="D17" s="11">
        <f t="shared" si="0"/>
        <v>66</v>
      </c>
    </row>
    <row r="19" spans="1:7" ht="15.5" x14ac:dyDescent="0.35">
      <c r="A19" s="1"/>
    </row>
    <row r="20" spans="1:7" ht="15" customHeight="1" x14ac:dyDescent="0.35">
      <c r="A20" s="2"/>
      <c r="B20" s="2"/>
      <c r="C20" s="2"/>
      <c r="D20" s="2"/>
      <c r="E20" s="2"/>
      <c r="F20" s="2"/>
      <c r="G20" s="2"/>
    </row>
    <row r="21" spans="1:7" ht="26.9" customHeight="1" x14ac:dyDescent="0.35">
      <c r="A21" s="2"/>
      <c r="B21" s="2"/>
      <c r="C21" s="2"/>
      <c r="D21" s="2"/>
      <c r="E21" s="2"/>
      <c r="F21" s="2"/>
      <c r="G21" s="2"/>
    </row>
    <row r="22" spans="1:7" ht="39.5" customHeight="1" x14ac:dyDescent="0.35">
      <c r="A22" s="2"/>
      <c r="B22" s="2"/>
      <c r="C22" s="2"/>
      <c r="D22" s="2"/>
      <c r="E22" s="2"/>
      <c r="F22" s="2"/>
      <c r="G22" s="2"/>
    </row>
    <row r="23" spans="1:7" ht="26.9" customHeight="1" x14ac:dyDescent="0.35">
      <c r="A23" s="2"/>
      <c r="B23" s="2"/>
      <c r="C23" s="2"/>
      <c r="D23" s="2"/>
      <c r="E23" s="2"/>
      <c r="F23" s="2"/>
      <c r="G23" s="2"/>
    </row>
    <row r="24" spans="1:7" ht="26.9" customHeight="1" x14ac:dyDescent="0.35">
      <c r="A24" s="2"/>
      <c r="B24" s="2"/>
      <c r="C24" s="2"/>
      <c r="D24" s="2"/>
      <c r="E24" s="2"/>
      <c r="F24" s="2"/>
      <c r="G24" s="2"/>
    </row>
    <row r="25" spans="1:7" ht="26.9" customHeight="1" x14ac:dyDescent="0.35">
      <c r="A25" s="2"/>
      <c r="B25" s="2"/>
      <c r="C25" s="2"/>
      <c r="D25" s="2"/>
      <c r="E25" s="2"/>
      <c r="F25" s="2"/>
      <c r="G25" s="2"/>
    </row>
  </sheetData>
  <mergeCells count="5">
    <mergeCell ref="B3:K3"/>
    <mergeCell ref="B5:K5"/>
    <mergeCell ref="B6:K6"/>
    <mergeCell ref="B7:K7"/>
    <mergeCell ref="B8:K8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zoomScale="83" zoomScaleNormal="83" workbookViewId="0">
      <pane xSplit="1" ySplit="1" topLeftCell="B11" activePane="bottomRight" state="frozen"/>
      <selection pane="topRight" activeCell="B1" sqref="B1"/>
      <selection pane="bottomLeft" activeCell="A2" sqref="A2"/>
      <selection pane="bottomRight" activeCell="I12" sqref="I12"/>
    </sheetView>
  </sheetViews>
  <sheetFormatPr defaultColWidth="8.6328125" defaultRowHeight="15.5" x14ac:dyDescent="0.35"/>
  <cols>
    <col min="1" max="1" width="15.6328125" style="30" customWidth="1"/>
    <col min="2" max="2" width="58" style="27" customWidth="1"/>
    <col min="3" max="3" width="13" style="27" customWidth="1"/>
    <col min="4" max="4" width="26" style="27" customWidth="1"/>
    <col min="5" max="5" width="24" style="27" customWidth="1"/>
    <col min="6" max="16384" width="8.6328125" style="27"/>
  </cols>
  <sheetData>
    <row r="1" spans="1:5" x14ac:dyDescent="0.35">
      <c r="A1" s="37" t="s">
        <v>16</v>
      </c>
      <c r="B1" s="38" t="s">
        <v>17</v>
      </c>
      <c r="C1" s="38" t="s">
        <v>18</v>
      </c>
      <c r="D1" s="38" t="s">
        <v>19</v>
      </c>
      <c r="E1" s="38" t="s">
        <v>20</v>
      </c>
    </row>
    <row r="2" spans="1:5" ht="15" customHeight="1" x14ac:dyDescent="0.35">
      <c r="A2" s="39"/>
      <c r="B2" s="40" t="s">
        <v>255</v>
      </c>
      <c r="C2" s="40"/>
      <c r="D2" s="40"/>
      <c r="E2" s="40"/>
    </row>
    <row r="3" spans="1:5" x14ac:dyDescent="0.35">
      <c r="A3" s="31" t="s">
        <v>21</v>
      </c>
      <c r="B3" s="32" t="s">
        <v>22</v>
      </c>
      <c r="C3" s="33" t="s">
        <v>13</v>
      </c>
      <c r="D3" s="32" t="s">
        <v>23</v>
      </c>
      <c r="E3" s="32"/>
    </row>
    <row r="4" spans="1:5" ht="31" x14ac:dyDescent="0.35">
      <c r="A4" s="31" t="s">
        <v>24</v>
      </c>
      <c r="B4" s="32" t="s">
        <v>25</v>
      </c>
      <c r="C4" s="33" t="s">
        <v>13</v>
      </c>
      <c r="D4" s="32" t="s">
        <v>26</v>
      </c>
      <c r="E4" s="32"/>
    </row>
    <row r="5" spans="1:5" x14ac:dyDescent="0.35">
      <c r="A5" s="31" t="s">
        <v>27</v>
      </c>
      <c r="B5" s="32" t="s">
        <v>28</v>
      </c>
      <c r="C5" s="33" t="s">
        <v>13</v>
      </c>
      <c r="D5" s="32" t="s">
        <v>23</v>
      </c>
      <c r="E5" s="32"/>
    </row>
    <row r="6" spans="1:5" x14ac:dyDescent="0.35">
      <c r="A6" s="41"/>
      <c r="B6" s="42" t="s">
        <v>256</v>
      </c>
      <c r="C6" s="42"/>
      <c r="D6" s="42"/>
      <c r="E6" s="42"/>
    </row>
    <row r="7" spans="1:5" ht="31" x14ac:dyDescent="0.35">
      <c r="A7" s="34" t="s">
        <v>29</v>
      </c>
      <c r="B7" s="35" t="s">
        <v>30</v>
      </c>
      <c r="C7" s="36" t="s">
        <v>14</v>
      </c>
      <c r="D7" s="35" t="s">
        <v>31</v>
      </c>
      <c r="E7" s="35"/>
    </row>
    <row r="8" spans="1:5" x14ac:dyDescent="0.35">
      <c r="A8" s="34" t="s">
        <v>32</v>
      </c>
      <c r="B8" s="35" t="s">
        <v>33</v>
      </c>
      <c r="C8" s="36" t="s">
        <v>14</v>
      </c>
      <c r="D8" s="35" t="s">
        <v>34</v>
      </c>
      <c r="E8" s="35"/>
    </row>
    <row r="9" spans="1:5" ht="31" x14ac:dyDescent="0.35">
      <c r="A9" s="34" t="s">
        <v>35</v>
      </c>
      <c r="B9" s="35" t="s">
        <v>36</v>
      </c>
      <c r="C9" s="36" t="s">
        <v>14</v>
      </c>
      <c r="D9" s="35" t="s">
        <v>37</v>
      </c>
      <c r="E9" s="35"/>
    </row>
    <row r="10" spans="1:5" x14ac:dyDescent="0.35">
      <c r="A10" s="34" t="s">
        <v>38</v>
      </c>
      <c r="B10" s="35" t="s">
        <v>39</v>
      </c>
      <c r="C10" s="36" t="s">
        <v>14</v>
      </c>
      <c r="D10" s="35" t="s">
        <v>40</v>
      </c>
      <c r="E10" s="35"/>
    </row>
    <row r="11" spans="1:5" ht="31" x14ac:dyDescent="0.35">
      <c r="A11" s="34" t="s">
        <v>41</v>
      </c>
      <c r="B11" s="35" t="s">
        <v>42</v>
      </c>
      <c r="C11" s="36" t="s">
        <v>14</v>
      </c>
      <c r="D11" s="35" t="s">
        <v>43</v>
      </c>
      <c r="E11" s="35"/>
    </row>
    <row r="12" spans="1:5" ht="31" x14ac:dyDescent="0.35">
      <c r="A12" s="34" t="s">
        <v>44</v>
      </c>
      <c r="B12" s="35" t="s">
        <v>45</v>
      </c>
      <c r="C12" s="36" t="s">
        <v>14</v>
      </c>
      <c r="D12" s="35" t="s">
        <v>46</v>
      </c>
      <c r="E12" s="35"/>
    </row>
    <row r="13" spans="1:5" x14ac:dyDescent="0.35">
      <c r="A13" s="34" t="s">
        <v>47</v>
      </c>
      <c r="B13" s="35" t="s">
        <v>48</v>
      </c>
      <c r="C13" s="36" t="s">
        <v>14</v>
      </c>
      <c r="D13" s="35" t="s">
        <v>49</v>
      </c>
      <c r="E13" s="35"/>
    </row>
    <row r="14" spans="1:5" ht="31" x14ac:dyDescent="0.35">
      <c r="A14" s="34" t="s">
        <v>50</v>
      </c>
      <c r="B14" s="35" t="s">
        <v>51</v>
      </c>
      <c r="C14" s="36" t="s">
        <v>14</v>
      </c>
      <c r="D14" s="35" t="s">
        <v>43</v>
      </c>
      <c r="E14" s="35"/>
    </row>
    <row r="15" spans="1:5" x14ac:dyDescent="0.35">
      <c r="A15" s="34" t="s">
        <v>52</v>
      </c>
      <c r="B15" s="35" t="s">
        <v>53</v>
      </c>
      <c r="C15" s="36" t="s">
        <v>14</v>
      </c>
      <c r="D15" s="35" t="s">
        <v>54</v>
      </c>
      <c r="E15" s="35"/>
    </row>
    <row r="16" spans="1:5" x14ac:dyDescent="0.35">
      <c r="A16" s="34" t="s">
        <v>55</v>
      </c>
      <c r="B16" s="35" t="s">
        <v>56</v>
      </c>
      <c r="C16" s="36" t="s">
        <v>14</v>
      </c>
      <c r="D16" s="35" t="s">
        <v>54</v>
      </c>
      <c r="E16" s="35"/>
    </row>
    <row r="17" spans="1:5" ht="31" x14ac:dyDescent="0.35">
      <c r="A17" s="34" t="s">
        <v>57</v>
      </c>
      <c r="B17" s="35" t="s">
        <v>58</v>
      </c>
      <c r="C17" s="36" t="s">
        <v>13</v>
      </c>
      <c r="D17" s="35" t="s">
        <v>59</v>
      </c>
      <c r="E17" s="35"/>
    </row>
    <row r="18" spans="1:5" x14ac:dyDescent="0.35">
      <c r="A18" s="43"/>
      <c r="B18" s="47" t="s">
        <v>257</v>
      </c>
      <c r="C18" s="48"/>
      <c r="D18" s="48"/>
      <c r="E18" s="49"/>
    </row>
    <row r="19" spans="1:5" ht="31" x14ac:dyDescent="0.35">
      <c r="A19" s="31" t="s">
        <v>60</v>
      </c>
      <c r="B19" s="32" t="s">
        <v>61</v>
      </c>
      <c r="C19" s="33" t="s">
        <v>14</v>
      </c>
      <c r="D19" s="32" t="s">
        <v>31</v>
      </c>
      <c r="E19" s="32"/>
    </row>
    <row r="20" spans="1:5" ht="31" x14ac:dyDescent="0.35">
      <c r="A20" s="31" t="s">
        <v>62</v>
      </c>
      <c r="B20" s="32" t="s">
        <v>63</v>
      </c>
      <c r="C20" s="33" t="s">
        <v>14</v>
      </c>
      <c r="D20" s="32" t="s">
        <v>31</v>
      </c>
      <c r="E20" s="32"/>
    </row>
    <row r="21" spans="1:5" ht="31" x14ac:dyDescent="0.35">
      <c r="A21" s="31" t="s">
        <v>64</v>
      </c>
      <c r="B21" s="32" t="s">
        <v>65</v>
      </c>
      <c r="C21" s="33" t="s">
        <v>14</v>
      </c>
      <c r="D21" s="32" t="s">
        <v>43</v>
      </c>
      <c r="E21" s="32"/>
    </row>
    <row r="22" spans="1:5" ht="31" x14ac:dyDescent="0.35">
      <c r="A22" s="31" t="s">
        <v>66</v>
      </c>
      <c r="B22" s="32" t="s">
        <v>67</v>
      </c>
      <c r="C22" s="33" t="s">
        <v>14</v>
      </c>
      <c r="D22" s="32" t="s">
        <v>43</v>
      </c>
      <c r="E22" s="32"/>
    </row>
    <row r="23" spans="1:5" ht="31" x14ac:dyDescent="0.35">
      <c r="A23" s="31" t="s">
        <v>68</v>
      </c>
      <c r="B23" s="32" t="s">
        <v>69</v>
      </c>
      <c r="C23" s="33" t="s">
        <v>14</v>
      </c>
      <c r="D23" s="32" t="s">
        <v>46</v>
      </c>
      <c r="E23" s="32"/>
    </row>
    <row r="24" spans="1:5" x14ac:dyDescent="0.35">
      <c r="A24" s="31" t="s">
        <v>70</v>
      </c>
      <c r="B24" s="32" t="s">
        <v>71</v>
      </c>
      <c r="C24" s="33" t="s">
        <v>14</v>
      </c>
      <c r="D24" s="32" t="s">
        <v>49</v>
      </c>
      <c r="E24" s="32"/>
    </row>
    <row r="25" spans="1:5" ht="31" x14ac:dyDescent="0.35">
      <c r="A25" s="31" t="s">
        <v>72</v>
      </c>
      <c r="B25" s="32" t="s">
        <v>73</v>
      </c>
      <c r="C25" s="33" t="s">
        <v>14</v>
      </c>
      <c r="D25" s="32" t="s">
        <v>54</v>
      </c>
      <c r="E25" s="32"/>
    </row>
    <row r="26" spans="1:5" x14ac:dyDescent="0.35">
      <c r="A26" s="31" t="s">
        <v>74</v>
      </c>
      <c r="B26" s="32" t="s">
        <v>75</v>
      </c>
      <c r="C26" s="33" t="s">
        <v>13</v>
      </c>
      <c r="D26" s="32" t="s">
        <v>76</v>
      </c>
      <c r="E26" s="32"/>
    </row>
    <row r="27" spans="1:5" x14ac:dyDescent="0.35">
      <c r="A27" s="31" t="s">
        <v>77</v>
      </c>
      <c r="B27" s="32" t="s">
        <v>78</v>
      </c>
      <c r="C27" s="33" t="s">
        <v>13</v>
      </c>
      <c r="D27" s="32" t="s">
        <v>79</v>
      </c>
      <c r="E27" s="32"/>
    </row>
    <row r="28" spans="1:5" ht="31" x14ac:dyDescent="0.35">
      <c r="A28" s="31" t="s">
        <v>80</v>
      </c>
      <c r="B28" s="32" t="s">
        <v>81</v>
      </c>
      <c r="C28" s="33" t="s">
        <v>13</v>
      </c>
      <c r="D28" s="32" t="s">
        <v>82</v>
      </c>
      <c r="E28" s="32"/>
    </row>
    <row r="29" spans="1:5" x14ac:dyDescent="0.35">
      <c r="A29" s="29"/>
      <c r="B29" s="28"/>
      <c r="C29" s="28"/>
      <c r="D29" s="28"/>
      <c r="E29" s="28"/>
    </row>
  </sheetData>
  <mergeCells count="2">
    <mergeCell ref="B2:E2"/>
    <mergeCell ref="B6:E6"/>
  </mergeCells>
  <dataValidations count="1">
    <dataValidation type="list" allowBlank="1" sqref="C3:C5 C7:C17 C19:C28">
      <formula1>"Manual,Automation"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zoomScale="89" zoomScaleNormal="89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3" sqref="D13"/>
    </sheetView>
  </sheetViews>
  <sheetFormatPr defaultColWidth="8.6328125" defaultRowHeight="15.5" x14ac:dyDescent="0.35"/>
  <cols>
    <col min="1" max="1" width="14" style="27" customWidth="1"/>
    <col min="2" max="2" width="58" style="27" customWidth="1"/>
    <col min="3" max="3" width="13" style="27" customWidth="1"/>
    <col min="4" max="4" width="26" style="27" customWidth="1"/>
    <col min="5" max="5" width="24" style="27" customWidth="1"/>
    <col min="6" max="16384" width="8.6328125" style="27"/>
  </cols>
  <sheetData>
    <row r="1" spans="1:5" x14ac:dyDescent="0.35">
      <c r="A1" s="38" t="s">
        <v>16</v>
      </c>
      <c r="B1" s="38" t="s">
        <v>17</v>
      </c>
      <c r="C1" s="38" t="s">
        <v>18</v>
      </c>
      <c r="D1" s="38" t="s">
        <v>19</v>
      </c>
      <c r="E1" s="38" t="s">
        <v>20</v>
      </c>
    </row>
    <row r="2" spans="1:5" x14ac:dyDescent="0.35">
      <c r="A2" s="39"/>
      <c r="B2" s="40" t="s">
        <v>255</v>
      </c>
      <c r="C2" s="40"/>
      <c r="D2" s="40"/>
      <c r="E2" s="40"/>
    </row>
    <row r="3" spans="1:5" x14ac:dyDescent="0.35">
      <c r="A3" s="50" t="s">
        <v>83</v>
      </c>
      <c r="B3" s="32" t="s">
        <v>84</v>
      </c>
      <c r="C3" s="33" t="s">
        <v>13</v>
      </c>
      <c r="D3" s="32" t="s">
        <v>85</v>
      </c>
      <c r="E3" s="32"/>
    </row>
    <row r="4" spans="1:5" x14ac:dyDescent="0.35">
      <c r="A4" s="50" t="s">
        <v>86</v>
      </c>
      <c r="B4" s="32" t="s">
        <v>87</v>
      </c>
      <c r="C4" s="33" t="s">
        <v>13</v>
      </c>
      <c r="D4" s="32" t="s">
        <v>85</v>
      </c>
      <c r="E4" s="32"/>
    </row>
    <row r="5" spans="1:5" ht="31" x14ac:dyDescent="0.35">
      <c r="A5" s="50" t="s">
        <v>88</v>
      </c>
      <c r="B5" s="32" t="s">
        <v>89</v>
      </c>
      <c r="C5" s="33" t="s">
        <v>13</v>
      </c>
      <c r="D5" s="32" t="s">
        <v>31</v>
      </c>
      <c r="E5" s="32"/>
    </row>
    <row r="6" spans="1:5" x14ac:dyDescent="0.35">
      <c r="A6" s="50" t="s">
        <v>90</v>
      </c>
      <c r="B6" s="32" t="s">
        <v>91</v>
      </c>
      <c r="C6" s="33" t="s">
        <v>13</v>
      </c>
      <c r="D6" s="32" t="s">
        <v>85</v>
      </c>
      <c r="E6" s="32"/>
    </row>
    <row r="7" spans="1:5" ht="15.5" customHeight="1" x14ac:dyDescent="0.35">
      <c r="A7" s="41"/>
      <c r="B7" s="42" t="s">
        <v>256</v>
      </c>
      <c r="C7" s="42"/>
      <c r="D7" s="42"/>
      <c r="E7" s="42"/>
    </row>
    <row r="8" spans="1:5" x14ac:dyDescent="0.35">
      <c r="A8" s="51" t="s">
        <v>92</v>
      </c>
      <c r="B8" s="35" t="s">
        <v>93</v>
      </c>
      <c r="C8" s="36" t="s">
        <v>14</v>
      </c>
      <c r="D8" s="35" t="s">
        <v>43</v>
      </c>
      <c r="E8" s="35"/>
    </row>
    <row r="9" spans="1:5" x14ac:dyDescent="0.35">
      <c r="A9" s="51" t="s">
        <v>94</v>
      </c>
      <c r="B9" s="35" t="s">
        <v>95</v>
      </c>
      <c r="C9" s="36" t="s">
        <v>14</v>
      </c>
      <c r="D9" s="35" t="s">
        <v>43</v>
      </c>
      <c r="E9" s="35"/>
    </row>
    <row r="10" spans="1:5" ht="31" x14ac:dyDescent="0.35">
      <c r="A10" s="51" t="s">
        <v>96</v>
      </c>
      <c r="B10" s="35" t="s">
        <v>97</v>
      </c>
      <c r="C10" s="36" t="s">
        <v>14</v>
      </c>
      <c r="D10" s="35" t="s">
        <v>43</v>
      </c>
      <c r="E10" s="35"/>
    </row>
    <row r="11" spans="1:5" ht="31" x14ac:dyDescent="0.35">
      <c r="A11" s="51" t="s">
        <v>98</v>
      </c>
      <c r="B11" s="35" t="s">
        <v>99</v>
      </c>
      <c r="C11" s="36" t="s">
        <v>14</v>
      </c>
      <c r="D11" s="35" t="s">
        <v>40</v>
      </c>
      <c r="E11" s="35"/>
    </row>
    <row r="12" spans="1:5" x14ac:dyDescent="0.35">
      <c r="A12" s="51" t="s">
        <v>100</v>
      </c>
      <c r="B12" s="35" t="s">
        <v>101</v>
      </c>
      <c r="C12" s="36" t="s">
        <v>14</v>
      </c>
      <c r="D12" s="35" t="s">
        <v>37</v>
      </c>
      <c r="E12" s="35"/>
    </row>
    <row r="13" spans="1:5" x14ac:dyDescent="0.35">
      <c r="A13" s="51" t="s">
        <v>102</v>
      </c>
      <c r="B13" s="35" t="s">
        <v>103</v>
      </c>
      <c r="C13" s="36" t="s">
        <v>14</v>
      </c>
      <c r="D13" s="35" t="s">
        <v>54</v>
      </c>
      <c r="E13" s="35"/>
    </row>
    <row r="14" spans="1:5" x14ac:dyDescent="0.35">
      <c r="A14" s="51" t="s">
        <v>104</v>
      </c>
      <c r="B14" s="35" t="s">
        <v>105</v>
      </c>
      <c r="C14" s="36" t="s">
        <v>13</v>
      </c>
      <c r="D14" s="35" t="s">
        <v>43</v>
      </c>
      <c r="E14" s="35"/>
    </row>
    <row r="15" spans="1:5" x14ac:dyDescent="0.35">
      <c r="A15" s="51" t="s">
        <v>106</v>
      </c>
      <c r="B15" s="35" t="s">
        <v>107</v>
      </c>
      <c r="C15" s="36" t="s">
        <v>13</v>
      </c>
      <c r="D15" s="35" t="s">
        <v>49</v>
      </c>
      <c r="E15" s="35"/>
    </row>
    <row r="16" spans="1:5" ht="15.5" customHeight="1" x14ac:dyDescent="0.35">
      <c r="A16" s="43"/>
      <c r="B16" s="44" t="s">
        <v>257</v>
      </c>
      <c r="C16" s="45"/>
      <c r="D16" s="45"/>
      <c r="E16" s="46"/>
    </row>
    <row r="17" spans="1:5" ht="31" x14ac:dyDescent="0.35">
      <c r="A17" s="50" t="s">
        <v>108</v>
      </c>
      <c r="B17" s="32" t="s">
        <v>109</v>
      </c>
      <c r="C17" s="33" t="s">
        <v>14</v>
      </c>
      <c r="D17" s="32" t="s">
        <v>110</v>
      </c>
      <c r="E17" s="32"/>
    </row>
    <row r="18" spans="1:5" x14ac:dyDescent="0.35">
      <c r="A18" s="50" t="s">
        <v>111</v>
      </c>
      <c r="B18" s="32" t="s">
        <v>112</v>
      </c>
      <c r="C18" s="33" t="s">
        <v>14</v>
      </c>
      <c r="D18" s="32" t="s">
        <v>110</v>
      </c>
      <c r="E18" s="32"/>
    </row>
    <row r="19" spans="1:5" ht="31" x14ac:dyDescent="0.35">
      <c r="A19" s="50" t="s">
        <v>113</v>
      </c>
      <c r="B19" s="32" t="s">
        <v>114</v>
      </c>
      <c r="C19" s="33" t="s">
        <v>14</v>
      </c>
      <c r="D19" s="32" t="s">
        <v>37</v>
      </c>
      <c r="E19" s="32"/>
    </row>
    <row r="20" spans="1:5" x14ac:dyDescent="0.35">
      <c r="A20" s="50" t="s">
        <v>115</v>
      </c>
      <c r="B20" s="32" t="s">
        <v>116</v>
      </c>
      <c r="C20" s="33" t="s">
        <v>14</v>
      </c>
      <c r="D20" s="32" t="s">
        <v>37</v>
      </c>
      <c r="E20" s="32"/>
    </row>
    <row r="21" spans="1:5" ht="31" x14ac:dyDescent="0.35">
      <c r="A21" s="50" t="s">
        <v>117</v>
      </c>
      <c r="B21" s="32" t="s">
        <v>118</v>
      </c>
      <c r="C21" s="33" t="s">
        <v>14</v>
      </c>
      <c r="D21" s="32" t="s">
        <v>46</v>
      </c>
      <c r="E21" s="32"/>
    </row>
    <row r="22" spans="1:5" ht="31" x14ac:dyDescent="0.35">
      <c r="A22" s="50" t="s">
        <v>119</v>
      </c>
      <c r="B22" s="32" t="s">
        <v>120</v>
      </c>
      <c r="C22" s="33" t="s">
        <v>13</v>
      </c>
      <c r="D22" s="32" t="s">
        <v>82</v>
      </c>
      <c r="E22" s="32"/>
    </row>
    <row r="23" spans="1:5" x14ac:dyDescent="0.35">
      <c r="A23" s="50" t="s">
        <v>121</v>
      </c>
      <c r="B23" s="32" t="s">
        <v>122</v>
      </c>
      <c r="C23" s="33" t="s">
        <v>13</v>
      </c>
      <c r="D23" s="32" t="s">
        <v>79</v>
      </c>
      <c r="E23" s="32"/>
    </row>
    <row r="24" spans="1:5" x14ac:dyDescent="0.35">
      <c r="A24" s="50" t="s">
        <v>123</v>
      </c>
      <c r="B24" s="32" t="s">
        <v>124</v>
      </c>
      <c r="C24" s="33" t="s">
        <v>13</v>
      </c>
      <c r="D24" s="32" t="s">
        <v>82</v>
      </c>
      <c r="E24" s="32"/>
    </row>
  </sheetData>
  <mergeCells count="3">
    <mergeCell ref="B2:E2"/>
    <mergeCell ref="B7:E7"/>
    <mergeCell ref="B16:E16"/>
  </mergeCells>
  <dataValidations count="1">
    <dataValidation type="list" allowBlank="1" sqref="C3:C6 C8:C15 C17:C24">
      <formula1>"Manual,Automation"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11" sqref="G11"/>
    </sheetView>
  </sheetViews>
  <sheetFormatPr defaultColWidth="8.6328125" defaultRowHeight="15.5" x14ac:dyDescent="0.35"/>
  <cols>
    <col min="1" max="1" width="14" style="27" customWidth="1"/>
    <col min="2" max="2" width="58" style="27" customWidth="1"/>
    <col min="3" max="3" width="13" style="27" customWidth="1"/>
    <col min="4" max="4" width="26" style="27" customWidth="1"/>
    <col min="5" max="5" width="24" style="27" customWidth="1"/>
    <col min="6" max="16384" width="8.6328125" style="27"/>
  </cols>
  <sheetData>
    <row r="1" spans="1:5" x14ac:dyDescent="0.35">
      <c r="A1" s="38" t="s">
        <v>16</v>
      </c>
      <c r="B1" s="38" t="s">
        <v>17</v>
      </c>
      <c r="C1" s="38" t="s">
        <v>18</v>
      </c>
      <c r="D1" s="38" t="s">
        <v>19</v>
      </c>
      <c r="E1" s="38" t="s">
        <v>20</v>
      </c>
    </row>
    <row r="2" spans="1:5" x14ac:dyDescent="0.35">
      <c r="A2" s="52"/>
      <c r="B2" s="53" t="s">
        <v>255</v>
      </c>
      <c r="C2" s="52"/>
      <c r="D2" s="52"/>
      <c r="E2" s="52"/>
    </row>
    <row r="3" spans="1:5" x14ac:dyDescent="0.35">
      <c r="A3" s="31" t="s">
        <v>125</v>
      </c>
      <c r="B3" s="54" t="s">
        <v>126</v>
      </c>
      <c r="C3" s="55" t="s">
        <v>13</v>
      </c>
      <c r="D3" s="54" t="s">
        <v>127</v>
      </c>
      <c r="E3" s="54"/>
    </row>
    <row r="4" spans="1:5" x14ac:dyDescent="0.35">
      <c r="A4" s="31" t="s">
        <v>128</v>
      </c>
      <c r="B4" s="54" t="s">
        <v>129</v>
      </c>
      <c r="C4" s="55" t="s">
        <v>13</v>
      </c>
      <c r="D4" s="54" t="s">
        <v>31</v>
      </c>
      <c r="E4" s="54"/>
    </row>
    <row r="5" spans="1:5" x14ac:dyDescent="0.35">
      <c r="A5" s="41"/>
      <c r="B5" s="42" t="s">
        <v>256</v>
      </c>
      <c r="C5" s="42"/>
      <c r="D5" s="42"/>
      <c r="E5" s="42"/>
    </row>
    <row r="6" spans="1:5" x14ac:dyDescent="0.35">
      <c r="A6" s="51" t="s">
        <v>130</v>
      </c>
      <c r="B6" s="35" t="s">
        <v>131</v>
      </c>
      <c r="C6" s="36" t="s">
        <v>14</v>
      </c>
      <c r="D6" s="35" t="s">
        <v>31</v>
      </c>
      <c r="E6" s="35"/>
    </row>
    <row r="7" spans="1:5" x14ac:dyDescent="0.35">
      <c r="A7" s="51" t="s">
        <v>132</v>
      </c>
      <c r="B7" s="35" t="s">
        <v>133</v>
      </c>
      <c r="C7" s="36" t="s">
        <v>14</v>
      </c>
      <c r="D7" s="35" t="s">
        <v>54</v>
      </c>
      <c r="E7" s="35"/>
    </row>
    <row r="8" spans="1:5" ht="31" x14ac:dyDescent="0.35">
      <c r="A8" s="51" t="s">
        <v>134</v>
      </c>
      <c r="B8" s="35" t="s">
        <v>135</v>
      </c>
      <c r="C8" s="36" t="s">
        <v>14</v>
      </c>
      <c r="D8" s="35" t="s">
        <v>110</v>
      </c>
      <c r="E8" s="35"/>
    </row>
    <row r="9" spans="1:5" ht="31" x14ac:dyDescent="0.35">
      <c r="A9" s="51" t="s">
        <v>136</v>
      </c>
      <c r="B9" s="35" t="s">
        <v>137</v>
      </c>
      <c r="C9" s="36" t="s">
        <v>13</v>
      </c>
      <c r="D9" s="35" t="s">
        <v>138</v>
      </c>
      <c r="E9" s="35"/>
    </row>
    <row r="10" spans="1:5" x14ac:dyDescent="0.35">
      <c r="A10" s="51" t="s">
        <v>139</v>
      </c>
      <c r="B10" s="35" t="s">
        <v>140</v>
      </c>
      <c r="C10" s="36" t="s">
        <v>14</v>
      </c>
      <c r="D10" s="35" t="s">
        <v>141</v>
      </c>
      <c r="E10" s="35"/>
    </row>
    <row r="11" spans="1:5" ht="31" x14ac:dyDescent="0.35">
      <c r="A11" s="51" t="s">
        <v>142</v>
      </c>
      <c r="B11" s="35" t="s">
        <v>143</v>
      </c>
      <c r="C11" s="36" t="s">
        <v>13</v>
      </c>
      <c r="D11" s="35" t="s">
        <v>110</v>
      </c>
      <c r="E11" s="35"/>
    </row>
    <row r="12" spans="1:5" x14ac:dyDescent="0.35">
      <c r="A12" s="43"/>
      <c r="B12" s="42" t="s">
        <v>257</v>
      </c>
      <c r="C12" s="42"/>
      <c r="D12" s="42"/>
      <c r="E12" s="42"/>
    </row>
    <row r="13" spans="1:5" x14ac:dyDescent="0.35">
      <c r="A13" s="50" t="s">
        <v>144</v>
      </c>
      <c r="B13" s="32" t="s">
        <v>145</v>
      </c>
      <c r="C13" s="33" t="s">
        <v>14</v>
      </c>
      <c r="D13" s="32" t="s">
        <v>146</v>
      </c>
      <c r="E13" s="32"/>
    </row>
    <row r="14" spans="1:5" x14ac:dyDescent="0.35">
      <c r="A14" s="50" t="s">
        <v>147</v>
      </c>
      <c r="B14" s="32" t="s">
        <v>148</v>
      </c>
      <c r="C14" s="33" t="s">
        <v>14</v>
      </c>
      <c r="D14" s="32" t="s">
        <v>43</v>
      </c>
      <c r="E14" s="32"/>
    </row>
    <row r="15" spans="1:5" ht="31" x14ac:dyDescent="0.35">
      <c r="A15" s="50" t="s">
        <v>149</v>
      </c>
      <c r="B15" s="32" t="s">
        <v>150</v>
      </c>
      <c r="C15" s="33" t="s">
        <v>13</v>
      </c>
      <c r="D15" s="32" t="s">
        <v>82</v>
      </c>
      <c r="E15" s="32"/>
    </row>
    <row r="16" spans="1:5" ht="31" x14ac:dyDescent="0.35">
      <c r="A16" s="50" t="s">
        <v>151</v>
      </c>
      <c r="B16" s="32" t="s">
        <v>152</v>
      </c>
      <c r="C16" s="33" t="s">
        <v>13</v>
      </c>
      <c r="D16" s="32" t="s">
        <v>82</v>
      </c>
      <c r="E16" s="32"/>
    </row>
    <row r="17" spans="1:5" x14ac:dyDescent="0.35">
      <c r="A17" s="50" t="s">
        <v>153</v>
      </c>
      <c r="B17" s="32" t="s">
        <v>154</v>
      </c>
      <c r="C17" s="33" t="s">
        <v>14</v>
      </c>
      <c r="D17" s="32" t="s">
        <v>155</v>
      </c>
      <c r="E17" s="32"/>
    </row>
    <row r="18" spans="1:5" x14ac:dyDescent="0.35">
      <c r="A18" s="28"/>
      <c r="B18" s="28"/>
      <c r="C18" s="28"/>
      <c r="D18" s="28"/>
      <c r="E18" s="28"/>
    </row>
    <row r="19" spans="1:5" x14ac:dyDescent="0.35">
      <c r="A19" s="28"/>
      <c r="B19" s="28"/>
      <c r="C19" s="28"/>
      <c r="D19" s="28"/>
      <c r="E19" s="28"/>
    </row>
  </sheetData>
  <mergeCells count="2">
    <mergeCell ref="B12:E12"/>
    <mergeCell ref="B5:E5"/>
  </mergeCells>
  <dataValidations count="1">
    <dataValidation type="list" allowBlank="1" sqref="C3:C4 C6:C11 C13:C17">
      <formula1>"Manual,Automation"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6" sqref="A16:E16"/>
    </sheetView>
  </sheetViews>
  <sheetFormatPr defaultColWidth="8.6328125" defaultRowHeight="15.5" x14ac:dyDescent="0.35"/>
  <cols>
    <col min="1" max="1" width="14" style="27" customWidth="1"/>
    <col min="2" max="2" width="58" style="27" customWidth="1"/>
    <col min="3" max="3" width="13" style="27" customWidth="1"/>
    <col min="4" max="4" width="26" style="27" customWidth="1"/>
    <col min="5" max="5" width="24" style="27" customWidth="1"/>
    <col min="6" max="16384" width="8.6328125" style="27"/>
  </cols>
  <sheetData>
    <row r="1" spans="1:5" x14ac:dyDescent="0.35">
      <c r="A1" s="38" t="s">
        <v>16</v>
      </c>
      <c r="B1" s="38" t="s">
        <v>17</v>
      </c>
      <c r="C1" s="38" t="s">
        <v>18</v>
      </c>
      <c r="D1" s="38" t="s">
        <v>19</v>
      </c>
      <c r="E1" s="38" t="s">
        <v>20</v>
      </c>
    </row>
    <row r="2" spans="1:5" x14ac:dyDescent="0.35">
      <c r="A2" s="39"/>
      <c r="B2" s="40" t="s">
        <v>255</v>
      </c>
      <c r="C2" s="40"/>
      <c r="D2" s="40"/>
      <c r="E2" s="40"/>
    </row>
    <row r="3" spans="1:5" x14ac:dyDescent="0.35">
      <c r="A3" s="50" t="s">
        <v>156</v>
      </c>
      <c r="B3" s="32" t="s">
        <v>157</v>
      </c>
      <c r="C3" s="33" t="s">
        <v>13</v>
      </c>
      <c r="D3" s="32" t="s">
        <v>158</v>
      </c>
      <c r="E3" s="32"/>
    </row>
    <row r="4" spans="1:5" ht="31" x14ac:dyDescent="0.35">
      <c r="A4" s="50" t="s">
        <v>159</v>
      </c>
      <c r="B4" s="32" t="s">
        <v>160</v>
      </c>
      <c r="C4" s="33" t="s">
        <v>13</v>
      </c>
      <c r="D4" s="32" t="s">
        <v>26</v>
      </c>
      <c r="E4" s="32"/>
    </row>
    <row r="5" spans="1:5" ht="31" x14ac:dyDescent="0.35">
      <c r="A5" s="50" t="s">
        <v>161</v>
      </c>
      <c r="B5" s="32" t="s">
        <v>162</v>
      </c>
      <c r="C5" s="33" t="s">
        <v>13</v>
      </c>
      <c r="D5" s="32" t="s">
        <v>110</v>
      </c>
      <c r="E5" s="32"/>
    </row>
    <row r="6" spans="1:5" x14ac:dyDescent="0.35">
      <c r="A6" s="50" t="s">
        <v>163</v>
      </c>
      <c r="B6" s="32" t="s">
        <v>164</v>
      </c>
      <c r="C6" s="33" t="s">
        <v>13</v>
      </c>
      <c r="D6" s="32" t="s">
        <v>158</v>
      </c>
      <c r="E6" s="32"/>
    </row>
    <row r="7" spans="1:5" x14ac:dyDescent="0.35">
      <c r="A7" s="41"/>
      <c r="B7" s="42" t="s">
        <v>256</v>
      </c>
      <c r="C7" s="42"/>
      <c r="D7" s="42"/>
      <c r="E7" s="42"/>
    </row>
    <row r="8" spans="1:5" ht="31" x14ac:dyDescent="0.35">
      <c r="A8" s="51" t="s">
        <v>165</v>
      </c>
      <c r="B8" s="35" t="s">
        <v>166</v>
      </c>
      <c r="C8" s="36" t="s">
        <v>14</v>
      </c>
      <c r="D8" s="35" t="s">
        <v>31</v>
      </c>
      <c r="E8" s="35"/>
    </row>
    <row r="9" spans="1:5" ht="31" x14ac:dyDescent="0.35">
      <c r="A9" s="51" t="s">
        <v>167</v>
      </c>
      <c r="B9" s="35" t="s">
        <v>168</v>
      </c>
      <c r="C9" s="36" t="s">
        <v>14</v>
      </c>
      <c r="D9" s="35" t="s">
        <v>141</v>
      </c>
      <c r="E9" s="35"/>
    </row>
    <row r="10" spans="1:5" x14ac:dyDescent="0.35">
      <c r="A10" s="51" t="s">
        <v>169</v>
      </c>
      <c r="B10" s="35" t="s">
        <v>170</v>
      </c>
      <c r="C10" s="36" t="s">
        <v>14</v>
      </c>
      <c r="D10" s="35" t="s">
        <v>43</v>
      </c>
      <c r="E10" s="35"/>
    </row>
    <row r="11" spans="1:5" ht="31" x14ac:dyDescent="0.35">
      <c r="A11" s="51" t="s">
        <v>171</v>
      </c>
      <c r="B11" s="35" t="s">
        <v>172</v>
      </c>
      <c r="C11" s="36" t="s">
        <v>14</v>
      </c>
      <c r="D11" s="35" t="s">
        <v>43</v>
      </c>
      <c r="E11" s="35"/>
    </row>
    <row r="12" spans="1:5" ht="31" x14ac:dyDescent="0.35">
      <c r="A12" s="51" t="s">
        <v>173</v>
      </c>
      <c r="B12" s="35" t="s">
        <v>174</v>
      </c>
      <c r="C12" s="36" t="s">
        <v>13</v>
      </c>
      <c r="D12" s="35" t="s">
        <v>110</v>
      </c>
      <c r="E12" s="35"/>
    </row>
    <row r="13" spans="1:5" x14ac:dyDescent="0.35">
      <c r="A13" s="51" t="s">
        <v>175</v>
      </c>
      <c r="B13" s="35" t="s">
        <v>176</v>
      </c>
      <c r="C13" s="36" t="s">
        <v>14</v>
      </c>
      <c r="D13" s="35" t="s">
        <v>40</v>
      </c>
      <c r="E13" s="35"/>
    </row>
    <row r="14" spans="1:5" x14ac:dyDescent="0.35">
      <c r="A14" s="51" t="s">
        <v>177</v>
      </c>
      <c r="B14" s="35" t="s">
        <v>178</v>
      </c>
      <c r="C14" s="36" t="s">
        <v>14</v>
      </c>
      <c r="D14" s="35" t="s">
        <v>37</v>
      </c>
      <c r="E14" s="35"/>
    </row>
    <row r="15" spans="1:5" x14ac:dyDescent="0.35">
      <c r="A15" s="51" t="s">
        <v>179</v>
      </c>
      <c r="B15" s="35" t="s">
        <v>180</v>
      </c>
      <c r="C15" s="36" t="s">
        <v>14</v>
      </c>
      <c r="D15" s="35" t="s">
        <v>54</v>
      </c>
      <c r="E15" s="35"/>
    </row>
    <row r="16" spans="1:5" x14ac:dyDescent="0.35">
      <c r="A16" s="43"/>
      <c r="B16" s="42" t="s">
        <v>257</v>
      </c>
      <c r="C16" s="42"/>
      <c r="D16" s="42"/>
      <c r="E16" s="42"/>
    </row>
    <row r="17" spans="1:5" ht="31" x14ac:dyDescent="0.35">
      <c r="A17" s="50" t="s">
        <v>181</v>
      </c>
      <c r="B17" s="32" t="s">
        <v>182</v>
      </c>
      <c r="C17" s="33" t="s">
        <v>14</v>
      </c>
      <c r="D17" s="32" t="s">
        <v>31</v>
      </c>
      <c r="E17" s="32"/>
    </row>
    <row r="18" spans="1:5" ht="31" x14ac:dyDescent="0.35">
      <c r="A18" s="50" t="s">
        <v>183</v>
      </c>
      <c r="B18" s="32" t="s">
        <v>184</v>
      </c>
      <c r="C18" s="33" t="s">
        <v>14</v>
      </c>
      <c r="D18" s="32" t="s">
        <v>31</v>
      </c>
      <c r="E18" s="32"/>
    </row>
    <row r="19" spans="1:5" x14ac:dyDescent="0.35">
      <c r="A19" s="50" t="s">
        <v>185</v>
      </c>
      <c r="B19" s="32" t="s">
        <v>186</v>
      </c>
      <c r="C19" s="33" t="s">
        <v>14</v>
      </c>
      <c r="D19" s="32" t="s">
        <v>43</v>
      </c>
      <c r="E19" s="32"/>
    </row>
    <row r="20" spans="1:5" ht="31" x14ac:dyDescent="0.35">
      <c r="A20" s="50" t="s">
        <v>187</v>
      </c>
      <c r="B20" s="32" t="s">
        <v>188</v>
      </c>
      <c r="C20" s="33" t="s">
        <v>14</v>
      </c>
      <c r="D20" s="32" t="s">
        <v>43</v>
      </c>
      <c r="E20" s="32"/>
    </row>
    <row r="21" spans="1:5" ht="31" x14ac:dyDescent="0.35">
      <c r="A21" s="50" t="s">
        <v>189</v>
      </c>
      <c r="B21" s="32" t="s">
        <v>190</v>
      </c>
      <c r="C21" s="33" t="s">
        <v>13</v>
      </c>
      <c r="D21" s="32" t="s">
        <v>110</v>
      </c>
      <c r="E21" s="32"/>
    </row>
    <row r="22" spans="1:5" x14ac:dyDescent="0.35">
      <c r="A22" s="50" t="s">
        <v>191</v>
      </c>
      <c r="B22" s="32" t="s">
        <v>192</v>
      </c>
      <c r="C22" s="33" t="s">
        <v>14</v>
      </c>
      <c r="D22" s="32" t="s">
        <v>40</v>
      </c>
      <c r="E22" s="32"/>
    </row>
    <row r="23" spans="1:5" ht="31" x14ac:dyDescent="0.35">
      <c r="A23" s="50" t="s">
        <v>193</v>
      </c>
      <c r="B23" s="32" t="s">
        <v>194</v>
      </c>
      <c r="C23" s="33" t="s">
        <v>14</v>
      </c>
      <c r="D23" s="32" t="s">
        <v>46</v>
      </c>
      <c r="E23" s="32"/>
    </row>
    <row r="24" spans="1:5" x14ac:dyDescent="0.35">
      <c r="A24" s="50" t="s">
        <v>195</v>
      </c>
      <c r="B24" s="32" t="s">
        <v>196</v>
      </c>
      <c r="C24" s="33" t="s">
        <v>13</v>
      </c>
      <c r="D24" s="32" t="s">
        <v>79</v>
      </c>
      <c r="E24" s="32"/>
    </row>
  </sheetData>
  <mergeCells count="3">
    <mergeCell ref="B2:E2"/>
    <mergeCell ref="B7:E7"/>
    <mergeCell ref="B16:E16"/>
  </mergeCells>
  <dataValidations count="1">
    <dataValidation type="list" allowBlank="1" sqref="C3:C6 C8:C15 C17:C24">
      <formula1>"Manual,Automation"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zoomScaleNormal="100" workbookViewId="0">
      <pane xSplit="1" ySplit="1" topLeftCell="B19" activePane="bottomRight" state="frozen"/>
      <selection pane="topRight" activeCell="B1" sqref="B1"/>
      <selection pane="bottomLeft" activeCell="A2" sqref="A2"/>
      <selection pane="bottomRight" activeCell="H24" sqref="H24"/>
    </sheetView>
  </sheetViews>
  <sheetFormatPr defaultColWidth="8.6328125" defaultRowHeight="15.5" x14ac:dyDescent="0.35"/>
  <cols>
    <col min="1" max="1" width="14" style="27" customWidth="1"/>
    <col min="2" max="2" width="58" style="27" customWidth="1"/>
    <col min="3" max="3" width="13" style="27" customWidth="1"/>
    <col min="4" max="4" width="26" style="27" customWidth="1"/>
    <col min="5" max="5" width="24" style="27" customWidth="1"/>
    <col min="6" max="16384" width="8.6328125" style="27"/>
  </cols>
  <sheetData>
    <row r="1" spans="1:5" x14ac:dyDescent="0.35">
      <c r="A1" s="38" t="s">
        <v>16</v>
      </c>
      <c r="B1" s="38" t="s">
        <v>17</v>
      </c>
      <c r="C1" s="38" t="s">
        <v>18</v>
      </c>
      <c r="D1" s="38" t="s">
        <v>19</v>
      </c>
      <c r="E1" s="38" t="s">
        <v>20</v>
      </c>
    </row>
    <row r="2" spans="1:5" x14ac:dyDescent="0.35">
      <c r="A2" s="39"/>
      <c r="B2" s="40" t="s">
        <v>255</v>
      </c>
      <c r="C2" s="40"/>
      <c r="D2" s="40"/>
      <c r="E2" s="40"/>
    </row>
    <row r="3" spans="1:5" ht="31" x14ac:dyDescent="0.35">
      <c r="A3" s="50" t="s">
        <v>197</v>
      </c>
      <c r="B3" s="32" t="s">
        <v>198</v>
      </c>
      <c r="C3" s="33" t="s">
        <v>13</v>
      </c>
      <c r="D3" s="32" t="s">
        <v>199</v>
      </c>
      <c r="E3" s="32"/>
    </row>
    <row r="4" spans="1:5" ht="46.5" x14ac:dyDescent="0.35">
      <c r="A4" s="50" t="s">
        <v>200</v>
      </c>
      <c r="B4" s="32" t="s">
        <v>201</v>
      </c>
      <c r="C4" s="33" t="s">
        <v>13</v>
      </c>
      <c r="D4" s="32" t="s">
        <v>202</v>
      </c>
      <c r="E4" s="32"/>
    </row>
    <row r="5" spans="1:5" ht="31" x14ac:dyDescent="0.35">
      <c r="A5" s="50" t="s">
        <v>203</v>
      </c>
      <c r="B5" s="32" t="s">
        <v>204</v>
      </c>
      <c r="C5" s="33" t="s">
        <v>13</v>
      </c>
      <c r="D5" s="32" t="s">
        <v>40</v>
      </c>
      <c r="E5" s="32"/>
    </row>
    <row r="6" spans="1:5" x14ac:dyDescent="0.35">
      <c r="A6" s="41"/>
      <c r="B6" s="42" t="s">
        <v>256</v>
      </c>
      <c r="C6" s="42"/>
      <c r="D6" s="42"/>
      <c r="E6" s="42"/>
    </row>
    <row r="7" spans="1:5" ht="31" x14ac:dyDescent="0.35">
      <c r="A7" s="51" t="s">
        <v>205</v>
      </c>
      <c r="B7" s="35" t="s">
        <v>206</v>
      </c>
      <c r="C7" s="36" t="s">
        <v>14</v>
      </c>
      <c r="D7" s="35" t="s">
        <v>37</v>
      </c>
      <c r="E7" s="35"/>
    </row>
    <row r="8" spans="1:5" ht="31" x14ac:dyDescent="0.35">
      <c r="A8" s="51" t="s">
        <v>207</v>
      </c>
      <c r="B8" s="35" t="s">
        <v>208</v>
      </c>
      <c r="C8" s="36" t="s">
        <v>14</v>
      </c>
      <c r="D8" s="35" t="s">
        <v>37</v>
      </c>
      <c r="E8" s="35"/>
    </row>
    <row r="9" spans="1:5" ht="31" x14ac:dyDescent="0.35">
      <c r="A9" s="51" t="s">
        <v>209</v>
      </c>
      <c r="B9" s="35" t="s">
        <v>210</v>
      </c>
      <c r="C9" s="36" t="s">
        <v>14</v>
      </c>
      <c r="D9" s="35" t="s">
        <v>37</v>
      </c>
      <c r="E9" s="35"/>
    </row>
    <row r="10" spans="1:5" ht="31" x14ac:dyDescent="0.35">
      <c r="A10" s="51" t="s">
        <v>211</v>
      </c>
      <c r="B10" s="35" t="s">
        <v>212</v>
      </c>
      <c r="C10" s="36" t="s">
        <v>14</v>
      </c>
      <c r="D10" s="35" t="s">
        <v>31</v>
      </c>
      <c r="E10" s="35"/>
    </row>
    <row r="11" spans="1:5" ht="31" x14ac:dyDescent="0.35">
      <c r="A11" s="51" t="s">
        <v>213</v>
      </c>
      <c r="B11" s="35" t="s">
        <v>214</v>
      </c>
      <c r="C11" s="36" t="s">
        <v>14</v>
      </c>
      <c r="D11" s="35" t="s">
        <v>31</v>
      </c>
      <c r="E11" s="35"/>
    </row>
    <row r="12" spans="1:5" ht="31" x14ac:dyDescent="0.35">
      <c r="A12" s="51" t="s">
        <v>215</v>
      </c>
      <c r="B12" s="35" t="s">
        <v>216</v>
      </c>
      <c r="C12" s="36" t="s">
        <v>14</v>
      </c>
      <c r="D12" s="35" t="s">
        <v>40</v>
      </c>
      <c r="E12" s="35"/>
    </row>
    <row r="13" spans="1:5" ht="31" x14ac:dyDescent="0.35">
      <c r="A13" s="51" t="s">
        <v>217</v>
      </c>
      <c r="B13" s="35" t="s">
        <v>218</v>
      </c>
      <c r="C13" s="36" t="s">
        <v>14</v>
      </c>
      <c r="D13" s="35" t="s">
        <v>110</v>
      </c>
      <c r="E13" s="35"/>
    </row>
    <row r="14" spans="1:5" ht="31" x14ac:dyDescent="0.35">
      <c r="A14" s="51" t="s">
        <v>219</v>
      </c>
      <c r="B14" s="35" t="s">
        <v>220</v>
      </c>
      <c r="C14" s="36" t="s">
        <v>14</v>
      </c>
      <c r="D14" s="35" t="s">
        <v>43</v>
      </c>
      <c r="E14" s="35"/>
    </row>
    <row r="15" spans="1:5" x14ac:dyDescent="0.35">
      <c r="A15" s="51" t="s">
        <v>221</v>
      </c>
      <c r="B15" s="35" t="s">
        <v>222</v>
      </c>
      <c r="C15" s="36" t="s">
        <v>14</v>
      </c>
      <c r="D15" s="35" t="s">
        <v>43</v>
      </c>
      <c r="E15" s="35"/>
    </row>
    <row r="16" spans="1:5" x14ac:dyDescent="0.35">
      <c r="A16" s="51" t="s">
        <v>223</v>
      </c>
      <c r="B16" s="35" t="s">
        <v>224</v>
      </c>
      <c r="C16" s="36" t="s">
        <v>14</v>
      </c>
      <c r="D16" s="35" t="s">
        <v>54</v>
      </c>
      <c r="E16" s="35"/>
    </row>
    <row r="17" spans="1:5" ht="31" x14ac:dyDescent="0.35">
      <c r="A17" s="51" t="s">
        <v>225</v>
      </c>
      <c r="B17" s="35" t="s">
        <v>226</v>
      </c>
      <c r="C17" s="36" t="s">
        <v>14</v>
      </c>
      <c r="D17" s="35" t="s">
        <v>46</v>
      </c>
      <c r="E17" s="35"/>
    </row>
    <row r="18" spans="1:5" ht="31" x14ac:dyDescent="0.35">
      <c r="A18" s="51" t="s">
        <v>227</v>
      </c>
      <c r="B18" s="35" t="s">
        <v>228</v>
      </c>
      <c r="C18" s="36" t="s">
        <v>13</v>
      </c>
      <c r="D18" s="35" t="s">
        <v>49</v>
      </c>
      <c r="E18" s="35"/>
    </row>
    <row r="19" spans="1:5" ht="31" x14ac:dyDescent="0.35">
      <c r="A19" s="51" t="s">
        <v>229</v>
      </c>
      <c r="B19" s="35" t="s">
        <v>230</v>
      </c>
      <c r="C19" s="36" t="s">
        <v>14</v>
      </c>
      <c r="D19" s="35" t="s">
        <v>49</v>
      </c>
      <c r="E19" s="35"/>
    </row>
    <row r="20" spans="1:5" x14ac:dyDescent="0.35">
      <c r="A20" s="43"/>
      <c r="B20" s="42" t="s">
        <v>257</v>
      </c>
      <c r="C20" s="42"/>
      <c r="D20" s="42"/>
      <c r="E20" s="42"/>
    </row>
    <row r="21" spans="1:5" ht="31" x14ac:dyDescent="0.35">
      <c r="A21" s="50" t="s">
        <v>231</v>
      </c>
      <c r="B21" s="32" t="s">
        <v>232</v>
      </c>
      <c r="C21" s="33" t="s">
        <v>14</v>
      </c>
      <c r="D21" s="32" t="s">
        <v>31</v>
      </c>
      <c r="E21" s="32"/>
    </row>
    <row r="22" spans="1:5" ht="31" x14ac:dyDescent="0.35">
      <c r="A22" s="50" t="s">
        <v>233</v>
      </c>
      <c r="B22" s="32" t="s">
        <v>234</v>
      </c>
      <c r="C22" s="33" t="s">
        <v>14</v>
      </c>
      <c r="D22" s="32" t="s">
        <v>31</v>
      </c>
      <c r="E22" s="32"/>
    </row>
    <row r="23" spans="1:5" ht="31" x14ac:dyDescent="0.35">
      <c r="A23" s="50" t="s">
        <v>235</v>
      </c>
      <c r="B23" s="32" t="s">
        <v>236</v>
      </c>
      <c r="C23" s="33" t="s">
        <v>14</v>
      </c>
      <c r="D23" s="32" t="s">
        <v>43</v>
      </c>
      <c r="E23" s="32"/>
    </row>
    <row r="24" spans="1:5" ht="31" x14ac:dyDescent="0.35">
      <c r="A24" s="50" t="s">
        <v>237</v>
      </c>
      <c r="B24" s="32" t="s">
        <v>238</v>
      </c>
      <c r="C24" s="33" t="s">
        <v>14</v>
      </c>
      <c r="D24" s="32" t="s">
        <v>43</v>
      </c>
      <c r="E24" s="32"/>
    </row>
    <row r="25" spans="1:5" ht="31" x14ac:dyDescent="0.35">
      <c r="A25" s="50" t="s">
        <v>239</v>
      </c>
      <c r="B25" s="32" t="s">
        <v>240</v>
      </c>
      <c r="C25" s="33" t="s">
        <v>13</v>
      </c>
      <c r="D25" s="32" t="s">
        <v>37</v>
      </c>
      <c r="E25" s="32"/>
    </row>
    <row r="26" spans="1:5" ht="31" x14ac:dyDescent="0.35">
      <c r="A26" s="50" t="s">
        <v>241</v>
      </c>
      <c r="B26" s="32" t="s">
        <v>242</v>
      </c>
      <c r="C26" s="33" t="s">
        <v>14</v>
      </c>
      <c r="D26" s="32" t="s">
        <v>49</v>
      </c>
      <c r="E26" s="32"/>
    </row>
    <row r="27" spans="1:5" x14ac:dyDescent="0.35">
      <c r="A27" s="50" t="s">
        <v>243</v>
      </c>
      <c r="B27" s="32" t="s">
        <v>244</v>
      </c>
      <c r="C27" s="33" t="s">
        <v>14</v>
      </c>
      <c r="D27" s="32" t="s">
        <v>54</v>
      </c>
      <c r="E27" s="32"/>
    </row>
    <row r="28" spans="1:5" ht="31" x14ac:dyDescent="0.35">
      <c r="A28" s="50" t="s">
        <v>245</v>
      </c>
      <c r="B28" s="32" t="s">
        <v>246</v>
      </c>
      <c r="C28" s="33" t="s">
        <v>13</v>
      </c>
      <c r="D28" s="32" t="s">
        <v>79</v>
      </c>
      <c r="E28" s="32"/>
    </row>
    <row r="29" spans="1:5" ht="31" x14ac:dyDescent="0.35">
      <c r="A29" s="50" t="s">
        <v>247</v>
      </c>
      <c r="B29" s="32" t="s">
        <v>81</v>
      </c>
      <c r="C29" s="33" t="s">
        <v>13</v>
      </c>
      <c r="D29" s="32" t="s">
        <v>82</v>
      </c>
      <c r="E29" s="32"/>
    </row>
  </sheetData>
  <mergeCells count="3">
    <mergeCell ref="B2:E2"/>
    <mergeCell ref="B6:E6"/>
    <mergeCell ref="B20:E20"/>
  </mergeCells>
  <dataValidations count="1">
    <dataValidation type="list" allowBlank="1" sqref="C3:C5 C7:C19 C21:C29">
      <formula1>"Manual,Automation"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Tổng quan</vt:lpstr>
      <vt:lpstr>SC_UC02_ThemChiNhanh</vt:lpstr>
      <vt:lpstr>SC_UC03_SuaChiNhanh</vt:lpstr>
      <vt:lpstr>SC_UC04_XoaChiNhanh</vt:lpstr>
      <vt:lpstr>SC_UC05_TaoThuongHieu</vt:lpstr>
      <vt:lpstr>SC_UC08_TaoKho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revision>0</cp:revision>
  <dcterms:created xsi:type="dcterms:W3CDTF">2026-09-20T14:14:28Z</dcterms:created>
  <dcterms:modified xsi:type="dcterms:W3CDTF">2026-09-20T15:06:15Z</dcterms:modified>
  <dc:language>en-US</dc:language>
</cp:coreProperties>
</file>