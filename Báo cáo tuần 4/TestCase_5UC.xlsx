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16380" windowHeight="8190" tabRatio="500" firstSheet="1" activeTab="4"/>
  </bookViews>
  <sheets>
    <sheet name="Cover" sheetId="1" r:id="rId1"/>
    <sheet name="TestReport" sheetId="2" r:id="rId2"/>
    <sheet name="Test QuanLyChiNhanh" sheetId="3" r:id="rId3"/>
    <sheet name="Test QuanLyThuongHieu" sheetId="4" r:id="rId4"/>
    <sheet name="Test QuanLyKho" sheetId="5" r:id="rId5"/>
  </sheets>
  <calcPr calcId="144525"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59" i="5" l="1"/>
  <c r="I39" i="5"/>
  <c r="I38" i="5"/>
  <c r="I37" i="5"/>
  <c r="I36" i="5"/>
  <c r="I35" i="5"/>
  <c r="I34" i="5"/>
  <c r="I33" i="5"/>
  <c r="I32" i="5"/>
  <c r="I31" i="5"/>
  <c r="I30" i="5"/>
  <c r="I29" i="5"/>
  <c r="I28" i="5"/>
  <c r="I27" i="5"/>
  <c r="I26" i="5"/>
  <c r="I25" i="5"/>
  <c r="I24" i="5"/>
  <c r="I23" i="5"/>
  <c r="I22" i="5"/>
  <c r="I21" i="5"/>
  <c r="I20" i="5"/>
  <c r="I19" i="5"/>
  <c r="I18" i="5"/>
  <c r="I17" i="5"/>
  <c r="I16" i="5"/>
  <c r="I15" i="5"/>
  <c r="I14" i="5"/>
  <c r="I40" i="5"/>
  <c r="I41" i="5"/>
  <c r="I13" i="5"/>
  <c r="I12" i="5"/>
  <c r="I11" i="5"/>
  <c r="I43" i="4"/>
  <c r="I26" i="4" l="1"/>
  <c r="I25" i="4"/>
  <c r="I24" i="4"/>
  <c r="I23" i="4"/>
  <c r="I22" i="4"/>
  <c r="I21" i="4"/>
  <c r="I20" i="4"/>
  <c r="I19" i="4"/>
  <c r="I18" i="4"/>
  <c r="I17" i="4"/>
  <c r="I16" i="4"/>
  <c r="I15" i="4"/>
  <c r="I12" i="4"/>
  <c r="I11" i="4"/>
  <c r="I66" i="3"/>
  <c r="I62" i="3"/>
  <c r="I23" i="3" l="1"/>
  <c r="I22" i="3"/>
  <c r="I21" i="3"/>
  <c r="I20" i="3"/>
  <c r="I19" i="3"/>
  <c r="I18" i="3"/>
  <c r="I17" i="3"/>
  <c r="I16" i="3"/>
  <c r="I15" i="3"/>
  <c r="I14" i="3"/>
  <c r="I12" i="3"/>
  <c r="I11" i="3"/>
  <c r="I60" i="5"/>
  <c r="I58" i="5"/>
  <c r="I57" i="5"/>
  <c r="I56" i="5"/>
  <c r="I55" i="5"/>
  <c r="I54" i="5"/>
  <c r="I53" i="5"/>
  <c r="I52" i="5"/>
  <c r="I51" i="5"/>
  <c r="I50" i="5"/>
  <c r="I49" i="5"/>
  <c r="I48" i="5"/>
  <c r="I47" i="5"/>
  <c r="I46" i="5"/>
  <c r="I45" i="5"/>
  <c r="I44" i="4"/>
  <c r="I42" i="4"/>
  <c r="I41" i="4"/>
  <c r="I40" i="4"/>
  <c r="I39" i="4"/>
  <c r="I38" i="4"/>
  <c r="I37" i="4"/>
  <c r="I36" i="4"/>
  <c r="I35" i="4"/>
  <c r="I34" i="4"/>
  <c r="I33" i="4"/>
  <c r="I32" i="4"/>
  <c r="I58" i="3" l="1"/>
  <c r="I56" i="3"/>
  <c r="I55" i="3"/>
  <c r="I57" i="3"/>
  <c r="I54" i="3"/>
  <c r="I53" i="3"/>
  <c r="I52" i="3"/>
  <c r="I51" i="3"/>
  <c r="I50" i="3"/>
  <c r="I49" i="3"/>
  <c r="I48" i="3"/>
  <c r="I60" i="3"/>
  <c r="I61" i="3"/>
  <c r="I40" i="3"/>
  <c r="I39" i="3"/>
  <c r="I65" i="3"/>
  <c r="I64" i="3"/>
  <c r="I38" i="3"/>
  <c r="I37" i="3"/>
  <c r="I36" i="3"/>
  <c r="I35" i="3"/>
  <c r="I34" i="3"/>
  <c r="I33" i="3"/>
  <c r="I32" i="3"/>
  <c r="I31" i="3"/>
  <c r="I30" i="3"/>
  <c r="I29" i="3"/>
  <c r="I28" i="3"/>
  <c r="I27" i="3"/>
  <c r="I26" i="3"/>
  <c r="B3" i="4" l="1"/>
  <c r="B3" i="5"/>
  <c r="G3" i="2"/>
  <c r="B3" i="3"/>
  <c r="I13" i="3"/>
  <c r="I44" i="5" l="1"/>
  <c r="I43" i="5"/>
  <c r="I42" i="5"/>
  <c r="I10" i="5"/>
  <c r="D5" i="5"/>
  <c r="G13" i="2" s="1"/>
  <c r="C5" i="5"/>
  <c r="F13" i="2" s="1"/>
  <c r="B5" i="5"/>
  <c r="E13" i="2" s="1"/>
  <c r="A5" i="5"/>
  <c r="I31" i="4"/>
  <c r="I30" i="4"/>
  <c r="I29" i="4"/>
  <c r="I28" i="4"/>
  <c r="I27" i="4"/>
  <c r="I14" i="4"/>
  <c r="I13" i="4"/>
  <c r="D5" i="4"/>
  <c r="G12" i="2" s="1"/>
  <c r="C5" i="4"/>
  <c r="F12" i="2" s="1"/>
  <c r="B5" i="4"/>
  <c r="A5" i="4"/>
  <c r="I63" i="3"/>
  <c r="I47" i="3"/>
  <c r="I46" i="3"/>
  <c r="I45" i="3"/>
  <c r="I44" i="3"/>
  <c r="I43" i="3"/>
  <c r="I42" i="3"/>
  <c r="I25" i="3"/>
  <c r="I24" i="3"/>
  <c r="C13" i="2"/>
  <c r="C12" i="2"/>
  <c r="C11" i="2"/>
  <c r="D13" i="2" l="1"/>
  <c r="D12" i="2"/>
  <c r="E5" i="4"/>
  <c r="A7" i="4" s="1"/>
  <c r="E12" i="2"/>
  <c r="E5" i="5"/>
  <c r="A7" i="5" s="1"/>
  <c r="D7" i="4" l="1"/>
  <c r="E7" i="4"/>
  <c r="H12" i="2"/>
  <c r="C7" i="4"/>
  <c r="B7" i="4"/>
  <c r="H13" i="2"/>
  <c r="D7" i="5"/>
  <c r="E7" i="5"/>
  <c r="C7" i="5"/>
  <c r="B7" i="5"/>
  <c r="D5" i="3"/>
  <c r="G11" i="2" s="1"/>
  <c r="G15" i="2" s="1"/>
  <c r="C5" i="3"/>
  <c r="F11" i="2" s="1"/>
  <c r="F15" i="2" s="1"/>
  <c r="B5" i="3"/>
  <c r="E11" i="2" s="1"/>
  <c r="E15" i="2" s="1"/>
  <c r="A5" i="3"/>
  <c r="E5" i="3" l="1"/>
  <c r="E7" i="3" s="1"/>
  <c r="D11" i="2"/>
  <c r="D15" i="2" s="1"/>
  <c r="E18" i="2" s="1"/>
  <c r="D7" i="3" l="1"/>
  <c r="A7" i="3"/>
  <c r="B7" i="3"/>
  <c r="C7" i="3"/>
  <c r="H11" i="2"/>
  <c r="H15" i="2" s="1"/>
  <c r="E17" i="2" s="1"/>
</calcChain>
</file>

<file path=xl/sharedStrings.xml><?xml version="1.0" encoding="utf-8"?>
<sst xmlns="http://schemas.openxmlformats.org/spreadsheetml/2006/main" count="1035" uniqueCount="550">
  <si>
    <t>TEST CASE</t>
  </si>
  <si>
    <t>Project Name</t>
  </si>
  <si>
    <t>S-HOME - Hệ thống quản trị</t>
  </si>
  <si>
    <t>Creator</t>
  </si>
  <si>
    <t>Project Code</t>
  </si>
  <si>
    <t>SH01</t>
  </si>
  <si>
    <t>Reviewer/Approver</t>
  </si>
  <si>
    <t>Document Code</t>
  </si>
  <si>
    <t>Issue Date</t>
  </si>
  <si>
    <t>Version</t>
  </si>
  <si>
    <t>1.0</t>
  </si>
  <si>
    <t>Change Date</t>
  </si>
  <si>
    <t>Change Item</t>
  </si>
  <si>
    <t>Change description</t>
  </si>
  <si>
    <t>ID Name</t>
  </si>
  <si>
    <t>Note</t>
  </si>
  <si>
    <t>TEST REPORT</t>
  </si>
  <si>
    <t>Notes</t>
  </si>
  <si>
    <t>Test Items</t>
  </si>
  <si>
    <t>Pass</t>
  </si>
  <si>
    <t>Fail</t>
  </si>
  <si>
    <t>NT</t>
  </si>
  <si>
    <t>N/A</t>
  </si>
  <si>
    <t>Number of test cases</t>
  </si>
  <si>
    <t>Sub total</t>
  </si>
  <si>
    <t>Test coverage</t>
  </si>
  <si>
    <t>%</t>
  </si>
  <si>
    <t>Test successful coverage</t>
  </si>
  <si>
    <t>Item Test</t>
  </si>
  <si>
    <t>QuanLyChiNhanh</t>
  </si>
  <si>
    <t>Test requirement</t>
  </si>
  <si>
    <t>Kiểm thử chức năng quản lý chi nhánh (Thêm/Sửa/Xóa)</t>
  </si>
  <si>
    <t>Tester</t>
  </si>
  <si>
    <t>Number of Test cases</t>
  </si>
  <si>
    <t>ID</t>
  </si>
  <si>
    <t>Test Case Description</t>
  </si>
  <si>
    <t>Pre-condition</t>
  </si>
  <si>
    <t>Test Case Procedure</t>
  </si>
  <si>
    <t>Test Data</t>
  </si>
  <si>
    <t>Expected Output</t>
  </si>
  <si>
    <t>Result</t>
  </si>
  <si>
    <t>Test date</t>
  </si>
  <si>
    <t>1. Thêm chi nhánh</t>
  </si>
  <si>
    <t>TC01</t>
  </si>
  <si>
    <t>TC02</t>
  </si>
  <si>
    <t>TC03</t>
  </si>
  <si>
    <t>TC04</t>
  </si>
  <si>
    <t>TC05</t>
  </si>
  <si>
    <t>TC06</t>
  </si>
  <si>
    <t>TC07</t>
  </si>
  <si>
    <t>TC08</t>
  </si>
  <si>
    <t>2. Sửa chi nhánh</t>
  </si>
  <si>
    <t>TC09</t>
  </si>
  <si>
    <t>TC10</t>
  </si>
  <si>
    <t>TC11</t>
  </si>
  <si>
    <t>TC12</t>
  </si>
  <si>
    <t>TC13</t>
  </si>
  <si>
    <t>TC14</t>
  </si>
  <si>
    <t>TC15</t>
  </si>
  <si>
    <t>TC16</t>
  </si>
  <si>
    <t>3. Xóa chi nhánh</t>
  </si>
  <si>
    <t>QuanLyThuongHieu</t>
  </si>
  <si>
    <t>Kiểm thử chức năng tạo thương hiệu</t>
  </si>
  <si>
    <t>QuanLyKho</t>
  </si>
  <si>
    <t>Kiểm thử chức năng tạo kho</t>
  </si>
  <si>
    <t>Đã đăng nhập QTV; đã có sẵn 1 bản ghi kho trạng thái Nháp</t>
  </si>
  <si>
    <t>Dương Thị Ngọc Ánh</t>
  </si>
  <si>
    <t>20/09/2026</t>
  </si>
  <si>
    <t>Test Requirement</t>
  </si>
  <si>
    <t>Thêm chi nhánh với đầy đủ dữ liệu hợp lệ</t>
  </si>
  <si>
    <t>Đã mở form Thêm chi nhánh</t>
  </si>
  <si>
    <t>Tạo chi nhánh chỉ với các trường bắt buộc</t>
  </si>
  <si>
    <t>Hủy tạo chi nhánh khi chưa nhập dữ liệu</t>
  </si>
  <si>
    <t>1. Không nhập dữ liệu vào form.
2. Click "Hủy"</t>
  </si>
  <si>
    <t>1. Hệ thống quay về Danh sách chi nhánh.
2. Không tạo chi nhánh mới.
3. Không xuất hiện bản ghi mới trong danh sách.</t>
  </si>
  <si>
    <t>…</t>
  </si>
  <si>
    <t>Hủy tạo chi nhánh sau khi đã nhập dữ liệu</t>
  </si>
  <si>
    <t>Tên: Chi nhánh Test Hủy
Mã: CN_CANCEL01</t>
  </si>
  <si>
    <t>1. Nhập Tên chi nhánh.
2. Nhập Mã chi nhánh.
3. Nhập một số thông tin khác.
4. Click Hủy.
5. Kiểm tra danh sách chi nhánh.</t>
  </si>
  <si>
    <t>1. Hệ thống quay về Danh sách chi nhánh.
2. Dữ liệu vừa nhập không được lưu.
3. Không tìm thấy mã CN_CANCEL01 trong danh sách.</t>
  </si>
  <si>
    <t>Bỏ trống Tên chi nhánh</t>
  </si>
  <si>
    <t>Tên chi nhánh chỉ chứa khoảng trắng</t>
  </si>
  <si>
    <t>Bỏ trống Mã chi nhánh</t>
  </si>
  <si>
    <t>Mã chi nhánh chỉ chứa khoảng trắng</t>
  </si>
  <si>
    <t>1. Không tạo chi nhánh.
2. Hệ thống không chấp nhận mã chỉ chứa khoảng trắng.
3. Hiển thị thông báo lỗi tương ứng.</t>
  </si>
  <si>
    <t>1. Để trống Tên chi nhánh.
2. Nhập Mã chi nhánh.
3. Nhập các thông tin còn lại hợp lệ.
4. Click Tạo mới.</t>
  </si>
  <si>
    <t>1. Nhập một hoặc nhiều khoảng trắng vào 
2. Nhập Mã chi nhánh.
3. Nhập các thông tin còn lại hợp lệ.
4. Click Tạo mới.</t>
  </si>
  <si>
    <t>1. Nhập Tên chi nhánh.
2. Để trống Mã chi nhánh.
3. Nhập các thông tin còn lại hợp lệ.
4. Click Tạo mới.</t>
  </si>
  <si>
    <t>1. Nhập Tên chi nhánh.
2. Nhập một hoặc nhiều khoảng trắng vào Mã chi nhánh.
4. Nhập các thông tin còn lại hợp lệ.
5. Click Tạo mới.</t>
  </si>
  <si>
    <t>Mã chi nhánh chứa chữ thường</t>
  </si>
  <si>
    <t>1. Nhập Tên chi nhánh.
2. Nhập Mã chi nhánh.
3. Nhập các thông tin còn lại hợp lệ.
4. Click Tạo mới.</t>
  </si>
  <si>
    <t>Mã chi nhánh chứa ký tự đặc biệt</t>
  </si>
  <si>
    <t>Mã chi nhánh chứa khoảng trắng ở giữa</t>
  </si>
  <si>
    <t>Mã chi nhánh có dấu gạch ngang hợp lệ</t>
  </si>
  <si>
    <t>1. Mã được chấp nhận.
2. Chi nhánh được tạo thành công.
3. Mã CN-014 được lưu đúng.</t>
  </si>
  <si>
    <t xml:space="preserve">Tên: Chi nhánh Test 14
Mã: CN-014
</t>
  </si>
  <si>
    <t>Mã chi nhánh có dấu gạch dưới hợp lệ</t>
  </si>
  <si>
    <t xml:space="preserve">Tên: Chi nhánh Test 15
Mã: CN_015
</t>
  </si>
  <si>
    <t>1. Mã được chấp nhận.
2. Chi nhánh được tạo thành công.
3. Mã CN_015 được lưu đúng.</t>
  </si>
  <si>
    <t>TC17</t>
  </si>
  <si>
    <t>1. Mở form Tạo chi nhánh.
2. Nhập Tên Chi nhánh.
3. Nhập Mã.
4. Nhập các thông tin còn lại hợp lệ.
5. Click Tạo mới.</t>
  </si>
  <si>
    <t>TC18</t>
  </si>
  <si>
    <t>TC19</t>
  </si>
  <si>
    <t>Số điện thoại 10 chữ số</t>
  </si>
  <si>
    <t>1. Nhập đầy đủ Tên và Mã hợp lệ.
2. Nhập SĐT.
3. Nhập các thông tin còn lại hợp lệ.
4. Click Tạo mới.</t>
  </si>
  <si>
    <t>1. Hệ thống chấp nhận số điện thoại.
2. Chi nhánh được tạo thành công.
3. SĐT được lưu đúng.</t>
  </si>
  <si>
    <t>Số điện thoại 11 chữ số</t>
  </si>
  <si>
    <t>TC20</t>
  </si>
  <si>
    <t>Số điện thoại không hợp lệ</t>
  </si>
  <si>
    <t>1. Không tạo chi nhánh.
2. Hiển thị lỗi số điện thoại không hợp lệ.
3. Hệ thống yêu cầu số điện thoại từ 10–11 chữ số.</t>
  </si>
  <si>
    <t>TC21</t>
  </si>
  <si>
    <t>Kiểm tra nút Sửa tại danh sách"Sửa" trên danh sách chi nhánh</t>
  </si>
  <si>
    <t>Đã đăng nhập và danh sách có ít nhất một chi nhánh</t>
  </si>
  <si>
    <t>1.Truy cập Danh sách chi nhánh.
2. Quan sát từng dòng chi nhánh.
3. Click icon Sửa của một chi nhánh.</t>
  </si>
  <si>
    <t>1. Icon Sửa được hiển thị tại chi nhánh.
2. Hệ thống chuyển sang màn hình Sửa chi nhánh.</t>
  </si>
  <si>
    <t>TC22</t>
  </si>
  <si>
    <t>Kiểm tra dữ liệu được load khi mở form Sửa</t>
  </si>
  <si>
    <t>1.Tên chi nhánh được load đúng.
2. Mã chi nhánh được load đúng.
3. Loại chi nhánh được load đúng.
4. Địa chỉ được load đúng.
5. Số điện thoại được load đúng.
6. Email được load đúng.
7. Trạng thái được load đúng.</t>
  </si>
  <si>
    <t>TC23</t>
  </si>
  <si>
    <t>Kiểm tra Mã chi nhánh không thể chỉnh sửa</t>
  </si>
  <si>
    <t>1. Click vào trường Mã chi nhánh.
2. Thử nhập hoặc xóa mã hiện tại.</t>
  </si>
  <si>
    <t>1. Trường Mã chi nhánh ở trạng thái disable/readonly.
2. Không thể thay đổi giá trị mã.
3. Hiển thị ghi chú “Mã duy nhất, không thể thay đổi sau khi tạo”.</t>
  </si>
  <si>
    <t>TC24</t>
  </si>
  <si>
    <t>TC41</t>
  </si>
  <si>
    <t>TC25</t>
  </si>
  <si>
    <t>TC26</t>
  </si>
  <si>
    <t>TC27</t>
  </si>
  <si>
    <t>TC28</t>
  </si>
  <si>
    <t>TC29</t>
  </si>
  <si>
    <t>TC30</t>
  </si>
  <si>
    <t>TC31</t>
  </si>
  <si>
    <t>TC32</t>
  </si>
  <si>
    <t>TC33</t>
  </si>
  <si>
    <t>TC34</t>
  </si>
  <si>
    <t>TC35</t>
  </si>
  <si>
    <t>TC36</t>
  </si>
  <si>
    <t>TC37</t>
  </si>
  <si>
    <t>TC38</t>
  </si>
  <si>
    <t>TC39</t>
  </si>
  <si>
    <t>TC40</t>
  </si>
  <si>
    <t>TC42</t>
  </si>
  <si>
    <t>Sửa Tên chi nhánh</t>
  </si>
  <si>
    <t>1. Cập nhật thành công.
2. Hiển thị “Cập nhật chi nhánh thành công”.
3. Tên chi nhánh được cập nhật đúng.
4. Mã chi nhánh vẫn giữ nguyên.
5. Các trường khác giữ nguyên.</t>
  </si>
  <si>
    <t>Sửa Loại chi nhánh</t>
  </si>
  <si>
    <t>1.Mở dropdown Loại chi nhánh.
2. Chọn giá trị khác nếu hệ thống có lựa chọn khác.
3. Click Lưu/Cập nhật.</t>
  </si>
  <si>
    <t>1. Loại chi nhánh được cập nhật theo giá trị đã chọn.
2. Hiển thị thông báo cập nhật thành công.
3. Giá trị mới vẫn được hiển thị sau khi reload.</t>
  </si>
  <si>
    <t>1. Xóa Địa chỉ hiện tại.
2. Nhập 456 Lê Lợi, Quận 1, TP.HCM.
3. Click Lưu/Cập nhật.</t>
  </si>
  <si>
    <t>1. Cập nhật thành công.
2. Địa chỉ mới hiển thị đúng.
3. Các trường không thay đổi vẫn giữ nguyên.</t>
  </si>
  <si>
    <t>Sửa Số điện thoại hợp lệ</t>
  </si>
  <si>
    <t>1.Xóa SĐT hiện tại.
2. Nhập SĐT hợp lệ gồm 10 chữ số.
3. Click Lưu/Cập nhật.</t>
  </si>
  <si>
    <t>1. Cập nhật thành công.
2. SĐT mới được lưu đúng.
3. Không phát sinh lỗi validation.</t>
  </si>
  <si>
    <t>Xóa Số điện thoại khi sửa</t>
  </si>
  <si>
    <t>1. Mở form Sửa.
2. Xóa toàn bộ SĐT.
3. Không thay đổi các trường khác.
4. Click Lưu/Cập nhật.</t>
  </si>
  <si>
    <t>1.Cập nhật thành công.
2. SĐT được lưu ở trạng thái rỗng.
3. Các thông tin khác không thay đổi.</t>
  </si>
  <si>
    <t>Sửa Email hợp lệ</t>
  </si>
  <si>
    <t>1. Xóa Email hiện tại.
2. Nhập chinhanh01@shome.vn.
3. Click Lưu/Cập nhật.</t>
  </si>
  <si>
    <t>1. Cập nhật thành công.
2. Email mới được lưu đúng.
3. Email vẫn hiển thị đúng sau khi reload.</t>
  </si>
  <si>
    <t>Xóa Email khi sửa</t>
  </si>
  <si>
    <t>1. Mở form Sửa.
2. Xóa Email hiện tại.
3. Không thay đổi các trường khác.
4. Click Lưu/Cập nhật.</t>
  </si>
  <si>
    <t>1. Cập nhật thành công.
2. Email được lưu ở trạng thái rỗng.
3. Các trường khác giữ nguyên.</t>
  </si>
  <si>
    <t>Sửa Email sai định dạng</t>
  </si>
  <si>
    <t>1. Xóa Email hiện tại.
2. Nhập abc123.
3. Click Lưu/Cập nhật.</t>
  </si>
  <si>
    <t>1. Không lưu thay đổi.
2. Hiển thị lỗi Email không hợp lệ.
3. Người dùng vẫn ở màn hình Sửa.</t>
  </si>
  <si>
    <t>Sửa Số điện thoại không hợp lệ</t>
  </si>
  <si>
    <t>1. Không lưu thay đổi.
2. Hiển thị lỗi Số điện thoại không hợp lệ.
3. Yêu cầu SĐT có 10–11 chữ số.</t>
  </si>
  <si>
    <t>Bỏ trống Tên khi sửa</t>
  </si>
  <si>
    <t>1. Xóa Tên chi nhánh.
2. Không thay đổi các trường khác.
3. Click Lưu/Cập nhật.</t>
  </si>
  <si>
    <t>1. Không lưu thay đổi.
2. Hiển thị lỗi Tên chi nhánh là bắt buộc.
3. Dữ liệu cũ vẫn được giữ nguyên.</t>
  </si>
  <si>
    <t>Tên chi nhánh chỉ chứa khoảng trắng khi sửa</t>
  </si>
  <si>
    <t>1. Xóa Tên chi nhánh.
2. Nhập một hoặc nhiều khoảng trắng.
3. Click Lưu/Cập nhật.</t>
  </si>
  <si>
    <t>1. Không cập nhật dữ liệu.
2. Hệ thống coi giá trị chỉ gồm khoảng trắng là rỗng.
3. Hiển thị lỗi yêu cầu nhập Tên chi nhánh.</t>
  </si>
  <si>
    <t>Hủy sửa khi chưa thay đổi dữ liệu</t>
  </si>
  <si>
    <t>1. Không thay đổi dữ liệu.
2. Click Hủy.</t>
  </si>
  <si>
    <t>1. Quay về Danh sách chi nhánh.
2. Không có dữ liệu nào bị thay đổi.</t>
  </si>
  <si>
    <t>Hủy sửa sau khi đã thay đổi dữ liệu</t>
  </si>
  <si>
    <t>1. Thay đổi Tên chi nhánh.
2. Thay đổi Địa chỉ.
3. Click Hủy.
4. Mở lại chi nhánh vừa thao tác.</t>
  </si>
  <si>
    <t>Kiểm tra dữ liệu sau khi reload</t>
  </si>
  <si>
    <t>1. Ghi nhận thông tin mới sau khi cập nhật.
2. Reload trang.
3. Tìm lại chi nhánh vừa cập nhật.</t>
  </si>
  <si>
    <t>Đã cập nhật thành công một chi nhánh.</t>
  </si>
  <si>
    <t>1. Dữ liệu mới vẫn được lưu.
2. Không bị quay về dữ liệu cũ.
3. Các trường hiển thị đúng sau khi reload</t>
  </si>
  <si>
    <t>1. Hệ thống quay về danh sách.
2. Các thay đổi chưa được lưu.
3. Dữ liệu cũ vẫn được giữ nguyên</t>
  </si>
  <si>
    <t>Kiểm tra icon Xóa</t>
  </si>
  <si>
    <t>1. Truy cập Danh sách chi nhánh.
2. Quan sát các dòng dữ liệu.
3. Tìm icon Xóa tại một chi nhánh</t>
  </si>
  <si>
    <t>1. Icon Xóa được hiển thị.
2. Icon được đặt đúng tại dòng tương ứng với chi nhánh.</t>
  </si>
  <si>
    <t>TC43</t>
  </si>
  <si>
    <t>TC44</t>
  </si>
  <si>
    <t>TC45</t>
  </si>
  <si>
    <t>TC46</t>
  </si>
  <si>
    <t>TC47</t>
  </si>
  <si>
    <t>TC48</t>
  </si>
  <si>
    <t>TC49</t>
  </si>
  <si>
    <t>TC50</t>
  </si>
  <si>
    <t>TC51</t>
  </si>
  <si>
    <t>TC52</t>
  </si>
  <si>
    <t>TC53</t>
  </si>
  <si>
    <t>TC54</t>
  </si>
  <si>
    <t>TC55</t>
  </si>
  <si>
    <t>Hiển thị popup xác nhận xóa</t>
  </si>
  <si>
    <t>1. Click icon Xóa tại một chi nhánh.</t>
  </si>
  <si>
    <t>Danh sách có chi nhánh cần xóa</t>
  </si>
  <si>
    <t>Hủy thao tác xóa trong popup</t>
  </si>
  <si>
    <t>Popup xác nhận xóa đang hiển thị</t>
  </si>
  <si>
    <t>1. Click nút Hủy hoặc đóng popup.
2. Kiểm tra danh sách chi nhánh.</t>
  </si>
  <si>
    <t>1. Popup đóng.
2. Chi nhánh vẫn còn trong danh sách.
3. Không thực hiện thao tác xóa.</t>
  </si>
  <si>
    <t>Kiểm tra chi nhánh sau khi reload</t>
  </si>
  <si>
    <t>Chi nhánh đã được xóa thành công</t>
  </si>
  <si>
    <t>1. Reload trang Danh sách chi nhánh.
2. Tìm mã chi nhánh vừa xóa.</t>
  </si>
  <si>
    <t>1. Chi nhánh đã xóa không xuất hiện lại.
2. Dữ liệu xóa được duy trì sau khi reload.</t>
  </si>
  <si>
    <t>Double click nút xác nhận xóa</t>
  </si>
  <si>
    <t>1. Click nhanh nút xác nhận xóa hai lần.
2. Kiểm tra danh sách và kết quả xử lý.</t>
  </si>
  <si>
    <t>1. Hệ thống chỉ thực hiện một request xóa.
2. Không phát sinh lỗi do gửi yêu cầu xóa nhiều lần.
3. Chi nhánh chỉ bị xóa một lần.</t>
  </si>
  <si>
    <t>Xóa một chi nhánh rồi kiểm tra danh sách</t>
  </si>
  <si>
    <t>Danh sách có ít nhất hai chi nhánh.</t>
  </si>
  <si>
    <t>1. Ghi nhận số lượng chi nhánh hiện tại.
2. Xóa một chi nhánh.
3. Kiểm tra danh sách sau khi xóa.</t>
  </si>
  <si>
    <t>1. Chỉ chi nhánh được chọn bị xóa.
2. Các chi nhánh khác vẫn còn.
3. Không xảy ra xóa nhầm dữ liệu của chi nhánh khác.</t>
  </si>
  <si>
    <t>Đã đăng nhập với tài khoản Quản trị viên và có quyền tạo thương hiệu</t>
  </si>
  <si>
    <t>Tạo thương hiệu với đầy đủ dữ liệu hợp lệ</t>
  </si>
  <si>
    <t>1. Tạo thương hiệu thành công.
2. Hiển thị thông báo “Tạo thương hiệu thành công”.
3. Thông tin thương hiệu được lưu đúng.
4. Logo được lưu đúng.
5. Dữ liệu vẫn còn sau khi reload.</t>
  </si>
  <si>
    <t>Tạo thương hiệu chỉ nhập trường bắt buộc</t>
  </si>
  <si>
    <t>1. Truy cập màn hình “Tạo thương hiệu”.
2. Nhập Tên thương hiệu.
3. Nhập Slug.
4. Click khu vực upload Logo.
5. Chọn file logo.jpg.
6. Nhập Thứ tự hiển thị.
7. Chọn trạng thái.
8. Click “Tạo thương hiệu mới”.
9. Kiểm tra thông báo và danh sách thương hiệu.
10. Reload trang và kiểm tra lại thương hiệu vừa tạo.</t>
  </si>
  <si>
    <t>1. Truy cập màn hình “Tạo thương hiệu”.
2. Nhập Tên thương hiệu.
3. Không nhập Slug.
4. Không upload Logo.
5. Giữ Thứ tự hiển thị là 0.
6. Giữ Trạng thái là Kích hoạt.
7. Click “Tạo thương hiệu mới”.
8. Kiểm tra thương hiệu vừa tạo.</t>
  </si>
  <si>
    <t>Tên thương hiệu: Test Brand 002
Thứ tự hiển thị: 0
Trạng thái: Kích hoạt</t>
  </si>
  <si>
    <t>1. Tạo thương hiệu thành công.
2. Hệ thống tự sinh Slug.
3. Không yêu cầu upload Logo.
4. Thứ tự hiển thị là 0.
5. Trạng thái là Kích hoạt.</t>
  </si>
  <si>
    <t>Bỏ trống Tên thương hiệu</t>
  </si>
  <si>
    <t>1. Truy cập màn hình “Tạo thương hiệu”.
2. Để trống Tên thương hiệu.
3. Nhập Slug.
4. Click “Tạo thương hiệu mới”.</t>
  </si>
  <si>
    <t>Nhập Tên thương hiệu chỉ chứa khoảng trắng</t>
  </si>
  <si>
    <t>1. Truy cập màn hình “Tạo thương hiệu”.
2. Nhập một chuỗi chỉ gồm khoảng trắng vào Tên thương hiệu.
3. Nhập Slug.
4. Click “Tạo thương hiệu mới”.</t>
  </si>
  <si>
    <t>1. Không tạo thương hiệu.
2. Hệ thống coi giá trị chỉ chứa khoảng trắng là rỗng.
3. Hiển thị lỗi “Tên thương hiệu là bắt buộc” hoặc thông báo tương đương theo SRS.</t>
  </si>
  <si>
    <t>Tên thương hiệu bị trùng</t>
  </si>
  <si>
    <t>Tên thương hiệu: Apple
Slug: apple-test-002</t>
  </si>
  <si>
    <t>1. Không tạo thương hiệu mới.
2. Hiển thị lỗi “Tên thương hiệu đã tồn tại trong hệ thống”.
3. Không tạo thêm bản ghi trùng.</t>
  </si>
  <si>
    <t>Slug chứa chữ hoa</t>
  </si>
  <si>
    <t>Tên thương hiệu: Test Brand 005
Slug: Test-Brand-005</t>
  </si>
  <si>
    <t>1. Mở form Tạo thương hiệu.
2. Nhập Tên thương hiệu.
3. Nhập Slug.
4. Click “Tạo thương hiệu mới”.</t>
  </si>
  <si>
    <t>1. Hệ thống không chấp nhận Slug sai định dạng.
2. Hiển thị lỗi “Slug chỉ chứa chữ thường, số và gạch ngang” hoặc thông báo tương đương.</t>
  </si>
  <si>
    <t>Tên thương hiệu: Test Brand 006
Slug: test brand 006</t>
  </si>
  <si>
    <t>Slug chứa khoảng trắng</t>
  </si>
  <si>
    <t>Mở form Tạo thương hiệu.
Nhập Tên thương hiệu.
Nhập test brand 006 vào Slug.
Click “Tạo thương hiệu mới”.</t>
  </si>
  <si>
    <t>1. Không tạo thương hiệu với Slug không hợp lệ.
2. Hiển thị lỗi định dạng Slug.</t>
  </si>
  <si>
    <t>Slug bị trùng</t>
  </si>
  <si>
    <t>Đã tồn tại thương hiệu có Slug apple</t>
  </si>
  <si>
    <t>1. Không tạo thương hiệu.
2. Hiển thị “Slug đã tồn tại”.</t>
  </si>
  <si>
    <t>Tên thương hiệu: Test Brand 009
Slug: test-brand-009
Logo: logo.jpg</t>
  </si>
  <si>
    <t>Upload Logo định dạng JPG</t>
  </si>
  <si>
    <t>1. File JPG được chấp nhận.
2. Logo hiển thị preview.
3. Có thể tiếp tục tạo thương hiệu.</t>
  </si>
  <si>
    <t>1. Mở form Tạo thương hiệu.
2. Nhập Tên thương hiệu.
3. Nhập Slug.
4. Click khu vực upload Logo.
5. Chọn file logo.jpg.
6. Quan sát khu vực upload.</t>
  </si>
  <si>
    <t>Upload Logo định dạng PNG</t>
  </si>
  <si>
    <t>Tên thương hiệu: Test Brand 010
Slug: test-brand-010
Logo: logo.png</t>
  </si>
  <si>
    <t>1. Mở form Tạo thương hiệu.
2. Nhập Tên thương hiệu.
3. Nhập Slug.
4. Click khu vực upload Logo.
5. Chọn logo.png.
6. Quan sát preview.</t>
  </si>
  <si>
    <t>1. File PNG được chấp nhận.
2. Logo hiển thị preview.</t>
  </si>
  <si>
    <t>Upload Logo sai định dạng</t>
  </si>
  <si>
    <t>Tên thương hiệu: Test Brand 011
Slug: test-brand-011
Logo: document.pdf</t>
  </si>
  <si>
    <t>1. Mở form Tạo thương hiệu.
2. Nhập Tên thương hiệu.
3. Nhập Slug.
4. Click khu vực upload Logo.
5. Chọn file document.pdf.
6. Quan sát kết quả.</t>
  </si>
  <si>
    <t>Thay đổi Logo trước khi tạo</t>
  </si>
  <si>
    <t>Tên thương hiệu: Test Brand 012
Slug: test-brand-012
Logo ban đầu: logo1.jpg
Logo thay thế: logo2.png</t>
  </si>
  <si>
    <t>1. Mở form Tạo thương hiệu.
2. Nhập Tên thương hiệu.
3. Nhập Slug.
4. Upload logo1.jpg.
5. Quan sát preview.
6. Thực hiện thao tác thay đổi Logo.
7. Chọn logo2.png.
8. Quan sát preview.
9. Click “Tạo thương hiệu mới”.</t>
  </si>
  <si>
    <t>Nhập Thứ tự hiển thị bằng số nguyên dương</t>
  </si>
  <si>
    <t>Tên thương hiệu: Test Brand 013
Slug: test-brand-013
Thứ tự hiển thị: 5</t>
  </si>
  <si>
    <t>1. Mở form Tạo thương hiệu.
2. Nhập Tên thương hiệu.
3. Nhập Slug.
4. Nhập Thứ tự hiển thị.
5. Click “Tạo thương hiệu mới”.</t>
  </si>
  <si>
    <t>1. Hệ thống chấp nhận giá trị 5.
2. Tạo thương hiệu thành công.
3. Thứ tự hiển thị được lưu là 5.</t>
  </si>
  <si>
    <t>Nhập Thứ tự hiển thị là số âm</t>
  </si>
  <si>
    <t>Tên thương hiệu: Test Brand 014
Slug: test-brand-014
Thứ tự hiển thị: -1</t>
  </si>
  <si>
    <t>Nhập ký tự không phải số vào Thứ tự hiển thị</t>
  </si>
  <si>
    <t>Tên thương hiệu: Test Brand 015
Slug: test-brand-015
Thứ tự hiển thị: abc</t>
  </si>
  <si>
    <t>1. Hệ thống không chấp nhận giá trị không phải số.
2. Không tạo thương hiệu.
3. Hiển thị lỗi hoặc chặn nhập theo thiết kế.</t>
  </si>
  <si>
    <t>Tạo thương hiệu với trạng thái Kích hoạt</t>
  </si>
  <si>
    <t>Tên thương hiệu: Test Brand 016
Slug: test-brand-016
Thứ tự hiển thị: 1
Trạng thái: Kích hoạt</t>
  </si>
  <si>
    <t>1. Tạo thành công.
2. Thương hiệu có trạng thái Kích hoạt.</t>
  </si>
  <si>
    <t xml:space="preserve">1. Mở form Tạo thương hiệu.
2. Nhập Tên thương hiệu.
3. Nhập Slug.
4. Nhập Thứ tự hiển thị.
5. Chọn Trạng thái.
6. Click “Tạo thương hiệu mới”.
7. Kiểm tra danh sách thương hiệu.
</t>
  </si>
  <si>
    <t>Double click nút Tạo thương hiệu mới</t>
  </si>
  <si>
    <t>Tên thương hiệu: Test Brand 018
Slug: test-brand-018
Thứ tự hiển thị: 1
Trạng thái: Kích hoạt</t>
  </si>
  <si>
    <t>1. Mở form Tạo thương hiệu.
2. Nhập đầy đủ dữ liệu hợp lệ.
3. Double click nhanh vào nút “Tạo thương hiệu mới”.
4. Chờ hệ thống xử lý.
5. Kiểm tra danh sách thương hiệu.</t>
  </si>
  <si>
    <t>1. Chỉ tạo 01 thương hiệu.
2. Không tạo bản ghi trùng.
3. Nút có trạng thái loading/disable trong lúc xử lý nếu được thiết kế như SRS yêu cầu.</t>
  </si>
  <si>
    <t>Tạo kho với đầy đủ thông tin theo địa chỉ Cũ (3 cấp)</t>
  </si>
  <si>
    <t>Mã kho: KHO001
Tên kho: Kho Quận 1
Chi nhánh: Chi nhánh Quận 1
Trạng thái: Hoạt động
Đơn vị hành chính: Cũ (3 cấp)
Tỉnh/Thành phố: TP. Hồ Chí Minh
Quận/Huyện: Quận 1
Phường/Xã: Phường Bến Nghé
Địa chỉ chi tiết: 123 Nguyễn Huệ
Ghi chú: Kho trung tâm Quận 1</t>
  </si>
  <si>
    <t>1. Tạo kho thành công.
2. Hiển thị thông báo “Tạo kho thành công”.
3. Dữ liệu được lưu đúng.
4. Kho hiển thị trong danh sách.
5. Dữ liệu vẫn còn sau khi reload.</t>
  </si>
  <si>
    <t>Tạo kho với địa chỉ Mới (2 cấp)</t>
  </si>
  <si>
    <t>Mã kho: KHO002
Tên kho: Kho Ba Đình
Chi nhánh: Chi nhánh Hà Nội
Trạng thái: Hoạt động
Đơn vị hành chính: Mới (2 cấp)
Tỉnh/Thành phố: Hà Nội
Phường/Xã: Ba Đình
Địa chỉ chi tiết: 123 Đội Cấn
Ghi chú: Kho Hà Nội</t>
  </si>
  <si>
    <t>1. Mở màn hình Tạo kho.
2. Nhập Mã kho.
3. Nhập Tên kho.
4. Chọn chi nhánh.
5. Chọn Trạng thái.
6. Chọn Đơn vị hành chính.
7. Chọn Tỉnh/Thành phố.
8. Kiểm tra giao diện sau khi chọn Tỉnh/Thành phố.
9. Chọn Phường/Xã.
10. Nhập địa chỉ chi tiết.
11. Nhập ghi chú.
12. Click Tạo.
13. Kiểm tra kết quả.</t>
  </si>
  <si>
    <t>1. Mở màn hình Tạo kho.
2. Nhập Mã kho.
3. Nhập Tên kho.
4. Chọn Chi nhánh.
5. Giữ Trạng thái.
6. Chọn Đơn vị hành chính.
7. Chọn Tỉnh/Thành phố.
8. Chọn Quận/Huyện.
9. Chọn Phường/Xã.
10. Nhập Địa chỉ chi tiết.
11. Nhập Ghi chú.
12. Click Tạo.
13. Kiểm tra thông báo và danh sách kho.
14. Reload trang và kiểm tra lại kho.</t>
  </si>
  <si>
    <t>1. Khi chọn Mới (2 cấp), form chỉ hiển thị Tỉnh/Thành phố và Phường/Xã.
2. Tạo kho thành công.
3. Dữ liệu được lưu đúng.</t>
  </si>
  <si>
    <t>Bỏ trống Mã kho</t>
  </si>
  <si>
    <t>Mã kho chỉ chứa khoảng trắng</t>
  </si>
  <si>
    <t>1. Mở màn hình Tạo kho.
2. Để trống Mã kho.
3. Nhập Tên kho.
4. Click Tạo.</t>
  </si>
  <si>
    <t>1. Mở màn hình Tạo kho.
2. Nhập khoảng trắng vào Mã kho.
3. Nhập Tên kho.
4. Click Tạo.</t>
  </si>
  <si>
    <t>1. Không tạo kho.
2. Hiển thị lỗi “Mã kho là bắt buộc”.
3. Không tạo bản ghi kho.</t>
  </si>
  <si>
    <t>1. Hệ thống coi Mã kho sau khi trim là rỗng.
2. Không tạo kho.
3. Hiển thị lỗi “Mã kho là bắt buộc”.</t>
  </si>
  <si>
    <t>Mã kho hợp lệ chỉ chứa chữ và số</t>
  </si>
  <si>
    <t>1. Mã kho được chấp nhận.
2. Kho được tạo thành công nếu các dữ liệu bắt buộc khác hợp lệ.</t>
  </si>
  <si>
    <t>1. Mở màn hình Tạo kho.
2. Nhập Mã kho.
3. Nhập Tên kho.
4. Chọn các thông tin địa chỉ cần thiết.
5. Click Tạo.</t>
  </si>
  <si>
    <t>Mã kho có dấu gạch ngang</t>
  </si>
  <si>
    <t>1. Mã kho được chấp nhận.
2. Không hiển thị lỗi định dạng.</t>
  </si>
  <si>
    <t>Mã kho có dấu gạch dưới</t>
  </si>
  <si>
    <t>1. Mở màn hình Tạo kho.
2. Nhập Mã kho.
3. Nhập Tên kho.
4. Nhập/chọn các dữ liệu bắt buộc.
5. Click Tạo.</t>
  </si>
  <si>
    <t>Mã kho chứa ký tự không hợp lệ</t>
  </si>
  <si>
    <t>1. Không tạo kho.
2. Hiển thị lỗi “Mã kho chỉ chứa chữ cái, số, gạch ngang và gạch dưới” hoặc thông báo tương đương.</t>
  </si>
  <si>
    <t>Mã kho bị trùng</t>
  </si>
  <si>
    <t>1. Mở màn hình Tạo kho.
2. Nhập KHO001.
3. Nhập Kho Test Trùng.
4. Nhập/chọn các dữ liệu bắt buộc.
5. Click Tạo.</t>
  </si>
  <si>
    <t>1. Không tạo kho.
2. Hiển thị lỗi “Mã kho đã tồn tại trong hệ thống”.
3. Không tạo bản ghi trùng.</t>
  </si>
  <si>
    <t>Mã kho trùng nhưng khác chữ hoa/chữ thường</t>
  </si>
  <si>
    <t xml:space="preserve">Mã kho: KHO013
</t>
  </si>
  <si>
    <t>Bỏ trống Tên kho</t>
  </si>
  <si>
    <t>1. Không tạo kho.
2. Hiển thị lỗi “Tên kho là bắt buộc”.</t>
  </si>
  <si>
    <t>Tên kho chỉ chứa khoảng trắng</t>
  </si>
  <si>
    <t xml:space="preserve">Mã kho: KHO014
</t>
  </si>
  <si>
    <t>1. Mở màn hình Tạo kho.
2. Nhập Mã kho.
3. Nhập khoảng trắng vào Tên kho.
4. Nhập/chọn các dữ liệu bắt buộc khác.
5. Click Tạo.</t>
  </si>
  <si>
    <t>1. Hệ thống coi Tên kho sau khi trim là rỗng.
2. Không tạo kho.
3. Hiển thị lỗi “Tên kho là bắt buộc”.</t>
  </si>
  <si>
    <t>1. Mở màn hình Tạo kho.
2. Nhập Mã kho.
3. Để trống Tên kho.
4. Nhập/chọn các dữ liệu bắt buộc khác.
5. Click Tạo.</t>
  </si>
  <si>
    <t>Kiểm tra Quận/Huyện khi chưa chọn Tỉnh/Thành phố</t>
  </si>
  <si>
    <t>1. Mở màn hình Tạo kho.
2. Không chọn Tỉnh/Thành phố.
3. Click/quan sát dropdown Quận/Huyện.</t>
  </si>
  <si>
    <t>1. Quận/Huyện ở trạng thái disable.
2. Không có dữ liệu để lựa chọn.
3. Hệ thống yêu cầu chọn Tỉnh/Thành phố trước.</t>
  </si>
  <si>
    <t>Kiểm tra Quận/Huyện sau khi chọn Tỉnh/Thành phố</t>
  </si>
  <si>
    <t>1. Mở màn hình Tạo kho.
2. Chọn Cũ (3 cấp).
3. Chọn TP. Hồ Chí Minh.
4. Quan sát dropdown Quận/Huyện.</t>
  </si>
  <si>
    <t>1. Quận/Huyện được chuyển sang trạng thái active.
2. Danh sách Quận/Huyện được load tương ứng với Tỉnh/Thành phố đã chọn.</t>
  </si>
  <si>
    <t>Kiểm tra Phường/Xã khi chưa chọn Quận/Huyện</t>
  </si>
  <si>
    <t>1. Chọn Tỉnh/Thành phố.
2. Không chọn Quận/Huyện.
3. Quan sát dropdown Phường/Xã.</t>
  </si>
  <si>
    <t>1. Phường/Xã ở trạng thái disable.
2. Không cho lựa chọn khi chưa có Quận/Huyện.</t>
  </si>
  <si>
    <t>Kiểm tra Phường/Xã sau khi chọn Quận/Huyện</t>
  </si>
  <si>
    <t>1. Chọn Tỉnh/Thành phố.
2. Chọn Quận/Huyện.
3. Quan sát dropdown Phường/Xã.</t>
  </si>
  <si>
    <t>1. Phường/Xã chuyển sang active.
2. Danh sách Phường/Xã được load tương ứng với Quận/Huyện đã chọn.</t>
  </si>
  <si>
    <t>Lưu nháp khi dữ liệu chưa đầy đủ</t>
  </si>
  <si>
    <t>1. Cho phép lưu dù dữ liệu chưa đầy đủ.
2. Hiển thị “Lưu nháp thành công”.
3. Kho được lưu với trạng thái Nháp.</t>
  </si>
  <si>
    <t>Mở lại kho nháp và tạo chính thức</t>
  </si>
  <si>
    <t>Đã có một kho đang ở trạng thái Nháp.</t>
  </si>
  <si>
    <t>Truy cập danh sách kho.
1. Mở kho đang ở trạng thái Nháp.
2. Nhập/bổ sung Mã kho KHO016.
3. Kiểm tra và bổ sung Tên kho nếu cần.
4. Bổ sung các thông tin bắt buộc còn thiếu.
5. Click Tạo.
Kiểm tra kết quả.</t>
  </si>
  <si>
    <t>Tạo kho với trạng thái khác mặc định</t>
  </si>
  <si>
    <t>Mã kho: KHO018
Tên kho: Kho Test Trạng Thái
Trạng thái: [giá trị khác Hoạt động nếu dropdown hỗ trợ]</t>
  </si>
  <si>
    <t>1. Mở form Tạo kho.
2. Nhập Mã kho.
3. Nhập Tên kho.
4. Chọn một trạng thái khác giá trị mặc định nếu danh sách trạng thái có hỗ trợ.
5. Bổ sung dữ liệu bắt buộc.
6. Click Tạo.
7. Kiểm tra danh sách.</t>
  </si>
  <si>
    <t>Kho được tạo thành công nếu trạng thái được chọn là hợp lệ.
Trạng thái được lưu đúng theo lựa chọn.</t>
  </si>
  <si>
    <t>Mã kho: KHO019
Tên kho: Kho Test Double Click
Chi nhánh: Chi nhánh Quận 1
Trạng thái: Hoạt động
Tỉnh/Thành phố: TP. Hồ Chí Minh
Quận/Huyện: Quận 1
Phường/Xã: Phường Bến Nghé</t>
  </si>
  <si>
    <t>Mã kho: KHO020
Tên kho: Kho Test Reload
Chi nhánh: Chi nhánh Quận 1
Trạng thái: Hoạt động
Tỉnh/Thành phố: TP. Hồ Chí Minh
Quận/Huyện: Quận 1
Phường/Xã: Phường Bến Nghé
Địa chỉ chi tiết: 123 Nguyễn Huệ
Ghi chú: Kiểm tra reload</t>
  </si>
  <si>
    <t>Double click nút Tạo</t>
  </si>
  <si>
    <t>1. Mở form Tạo kho.
2. Nhập đầy đủ dữ liệu hợp lệ.
3. Double click nhanh liên tiếp vào nút Tạo.
4. Chờ hệ thống xử lý.
5. Kiểm tra danh sách kho.</t>
  </si>
  <si>
    <t>1. Chỉ tạo 01 kho.
2. Không tạo bản ghi trùng.
3. Nút Tạo có trạng thái loading/disable trong lúc xử lý nếu hệ thống triển khai cơ chế này.</t>
  </si>
  <si>
    <t>1. Mở form Tạo kho.
2. Nhập đầy đủ dữ liệu.
3. Click Tạo.
4. Kiểm tra kho xuất hiện trong danh sách.
5. Reload trang.
6. Tìm lại kho vừa tạo.
7. Kiểm tra toàn bộ thông tin.</t>
  </si>
  <si>
    <t>1. Kho vẫn tồn tại sau khi reload.
2. Mã, Tên, Chi nhánh, Trạng thái và thông tin địa chỉ được lưu đúng.
3. Ghi chú và Địa chỉ chi tiết được lưu đúng nếu đã nhập.</t>
  </si>
  <si>
    <t>Tên: Chi nhánh Bắc Ninh
Mã: BN001
Loại: Chi nhánh
Địa chỉ: 132 Nguyễn Cao, Kinh Bắc, Bắc Ninh
SĐT: 0286437491
Email: bn001@shome.vn
Trạng thái: ON</t>
  </si>
  <si>
    <t>1. Chi nhánh được tạo thành công.
2. Hiển thị thông báo “Tạo chi nhánh thành công”.
3. Chi nhánh BN001 xuất hiện trong danh sách.
4. Các thông tin hiển thị đúng với dữ liệu đã nhập.
5. Trạng thái hiển thị là Ngừng hoạt động.
6. Reload trang vẫn còn chi nhánh vừa tạo.</t>
  </si>
  <si>
    <t>1. Click "Thêm chi nhánh".
2. Nhập Tên chi nhánh.
3. Nhập Mã chi nhánh.
4. Giữ nguyên các trường Địa chỉ, SĐT, Email ở trạng thái để trống.
5. Giữ toggle "Đang hoạt động" ở trạng thái mặc định.
6. Click "Tạo mới".
7. Kiểm tra thông báo và danh sách chi nhánh.</t>
  </si>
  <si>
    <t>Tên: Chi nhánh Test 02
Mã: C0021
Trạng thái: Đang hoạt động</t>
  </si>
  <si>
    <t>1. Hệ thống không hiển thị lỗi validation đối với các trường Địa chỉ, SĐT, Email.
2. Chi nhánh được tạo thành công.
3. Hiển thị thông báo "Tạo chi nhánh thành công".
4. Chi nhánh mới xuất hiện trong danh sách với đúng Tên, Mã và trạng thái đã chọn.
5. Không phát sinh bản ghi trùng.</t>
  </si>
  <si>
    <t>Không tạo đc chi nhành mới</t>
  </si>
  <si>
    <t>TC56</t>
  </si>
  <si>
    <t>Kiểm tra tiêu đề section "Thông tin cơ bản"</t>
  </si>
  <si>
    <t>Kiểm tra label "Tên thương hiệu"</t>
  </si>
  <si>
    <t>Kiểm tra textbox "Tên thương hiệu"</t>
  </si>
  <si>
    <t>Kiểm tra label "Slug"</t>
  </si>
  <si>
    <t>Kiểm tra textbox "Slug"</t>
  </si>
  <si>
    <t>Kiểm tra dòng ghi chú dưới "Slug"</t>
  </si>
  <si>
    <t>Kiểm tra label "Logo thương hiệu"</t>
  </si>
  <si>
    <t>Kiểm tra khu vực upload "Logo thương hiệu"</t>
  </si>
  <si>
    <t>Kiểm tra label "Thứ tự hiển thị"</t>
  </si>
  <si>
    <t>Kiểm tra textbox "Thứ tự hiển thị" giá trị mặc định</t>
  </si>
  <si>
    <t>Kiểm tra label "Trạng thái"</t>
  </si>
  <si>
    <t>Kiểm tra dropdown "Trạng thái" giá trị mặc định</t>
  </si>
  <si>
    <t>Kiểm tra click mở dropdown "Trạng thái"</t>
  </si>
  <si>
    <t>Kiểm tra chọn giá trị khác trong dropdown "Trạng thái"</t>
  </si>
  <si>
    <t>Kiểm tra nút scroll-to-top (icon mũi tên lên)</t>
  </si>
  <si>
    <t>Kiểm tra footer "© 2026, Copyright by S.HOME"</t>
  </si>
  <si>
    <t>Vào màn hình, quan sát section</t>
  </si>
  <si>
    <t>Vào màn hình, quan sát label</t>
  </si>
  <si>
    <t>Vào màn hình, quan sát textbox</t>
  </si>
  <si>
    <t>Vào màn hình, quan sát text dưới field</t>
  </si>
  <si>
    <t>Vào màn hình, quan sát khu vực upload</t>
  </si>
  <si>
    <t>Vào màn hình, quan sát dropdown</t>
  </si>
  <si>
    <t>Click vào dropdown "Trạng thái"</t>
  </si>
  <si>
    <t>1. Click dropdown
2. Chọn giá trị khác "Kích hoạt"</t>
  </si>
  <si>
    <t>Cuộn xuống cuối trang, quan sát icon</t>
  </si>
  <si>
    <t>Cuộn xuống cuối trang</t>
  </si>
  <si>
    <t>Đăng nhập thành công, vào màn hình Tạo thương hiệu mới</t>
  </si>
  <si>
    <t>Kiểm tra textbox "Mã chi nhánh"</t>
  </si>
  <si>
    <t>Kiểm tra dòng ghi chú dưới "Mã chi nhánh"</t>
  </si>
  <si>
    <t>Kiểm tra label "Loại chi nhánh"</t>
  </si>
  <si>
    <t>Kiểm tra dropdown "Loại chi nhánh"</t>
  </si>
  <si>
    <t>Kiểm tra click mở dropdown "Loại chi nhánh"</t>
  </si>
  <si>
    <t>Kiểm tra chọn giá trị khác trong dropdown "Loại chi nhánh"</t>
  </si>
  <si>
    <t>Kiểm tra textbox "Địa chỉ"</t>
  </si>
  <si>
    <t>Kiểm tra textbox "Số điện thoại"</t>
  </si>
  <si>
    <t>Kiểm tra textbox "Email"</t>
  </si>
  <si>
    <t>Kiểm tra toggle "Đang hoạt động" mặc định bật</t>
  </si>
  <si>
    <t>Kiểm tra click tắt/bật toggle "Đang hoạt động"</t>
  </si>
  <si>
    <t>Kiểm tra button "Hủy"</t>
  </si>
  <si>
    <t>Kiểm tra button "Tạo mới"</t>
  </si>
  <si>
    <t>Click vào dropdown "Loại chi nhánh"</t>
  </si>
  <si>
    <t>1. Click dropdown
2. Chọn một giá trị khác mặc định</t>
  </si>
  <si>
    <t>Vào màn hình, quan sát toggle</t>
  </si>
  <si>
    <t>1. Click toggle để tắt
2. Click lại để bật</t>
  </si>
  <si>
    <t>Vào màn hình, quan sát button</t>
  </si>
  <si>
    <t>1. Hiển thị textbox với border, padding, height đúng design
2. Hiển thị placeholder "Mã chi nhánh"
3. Border-radius, màu border đúng design</t>
  </si>
  <si>
    <t>1. Hiển thị chữ "Mã duy nhất, không thể thay đổi sau khi tạo"
2. Font-size, màu sắc (xám/nhạt) đúng design</t>
  </si>
  <si>
    <t>1. Label: Loại chi nhánh
2. Hiển thị dạng floating label nằm trên viền dropdown
3. Font-size, màu sắc đúng design</t>
  </si>
  <si>
    <t>1. Hiển thị dropdown với border, padding, height đúng design
2. Giá trị mặc định: "Chi nhánh"
3. Có icon mũi tên xổ xuống bên phải
4. Border-radius, màu border đúng design</t>
  </si>
  <si>
    <t>1. Hiển thị danh sách các loại chi nhánh xổ xuống đầy đủ</t>
  </si>
  <si>
    <t>1. Giá trị được chọn hiển thị đúng trong dropdown
2. Dropdown đóng lại</t>
  </si>
  <si>
    <t>1. Hiển thị textbox với border, padding, height đúng design
2. Hiển thị placeholder "Địa chỉ"
3. Chiều rộng full theo layout
4. Border-radius, màu border đúng design</t>
  </si>
  <si>
    <t>1. Hiển thị textbox với border, padding, height đúng design
2. Hiển thị placeholder "Số điện thoại"
3. Border-radius, màu border đúng design</t>
  </si>
  <si>
    <t>1. Hiển thị textbox với border, padding, height đúng design
2. Hiển thị placeholder "Email"
3. Border-radius, màu border đúng design</t>
  </si>
  <si>
    <t>1. Toggle hiển thị trạng thái bật (ON) mặc định, màu cam
2. Label "Đang hoạt động" hiển thị đúng font-size, màu sắc
3. Kích thước, border-radius toggle đúng design</t>
  </si>
  <si>
    <t>1. Lần 1: toggle chuyển sang tắt (xám)
2. Lần 2: toggle chuyển lại bật (cam)</t>
  </si>
  <si>
    <t>1. Hiển thị chữ "Hủy"
2. Màu nền trắng, viền xám, border-radius đúng design
3. Vị trí góc phải dưới cùng form</t>
  </si>
  <si>
    <t>1. Hiển thị chữ "Tạo mới" kèm icon
2. Màu nền cam, chữ đen/đậm, border-radius đúng design
3. Vị trí góc phải dưới cùng, cạnh button "Hủy"</t>
  </si>
  <si>
    <t>1. Nhập Tên chi nhánh.
2. Nhập Mã chi nhánh.
3. Chọn Loại chi nhánh.
4. Nhập địa chỉ.
5. Nhập số điện thoại.
6. Nhập email.
7. Giữ toggle Đang hoạt động ở trạng thái ON.
8. Click Tạo mới.
9. Mở lại danh sách chi nhánh.</t>
  </si>
  <si>
    <t>1. Thêm xhi nhánh</t>
  </si>
  <si>
    <t>1. Không tạo chi nhánh.
2.Hiển thị lỗi "Tên chi nhánh là bắt buộc" ngay tại field (inline)
3. Focus vào field Tên chi nhánh
4. Không gửi request tạo mới</t>
  </si>
  <si>
    <t>1. Tạo được chi nhánh mới.                             2. Không focus vào ô tên chi nhánh, không hiển thị thông báo tên chi nhánh là bắt buộc</t>
  </si>
  <si>
    <t>1. Không tạo chi nhánh
2. Hiển thị lỗi "Mã chi nhánh là bắt buộc" ngay tại field (inline)
3. Focus vào field Mã chi nhánh</t>
  </si>
  <si>
    <t>1. Không tạo chi nhánh.
2. Hệ thống xử lý giá trị khoảng trắng như dữ liệu rỗng.
3. Hiển thị lỗi  "Tên chi nhánh là bắt buộc" ngay tại field (inline)</t>
  </si>
  <si>
    <t xml:space="preserve">Tên : Chi nhánh Test 09      Mã: CNT009                          
Loại: Chi nhánh
Địa chỉ: 9 Phố Viên, Đông Ngạc, Hà Nội
SĐT: 0286437432
Email: cnt009@shome.vn
Trạng thái: ON                       </t>
  </si>
  <si>
    <t xml:space="preserve">Tên : Chi nhánh Test 10                            
Loại: Chi nhánh
Địa chỉ:  241 Xuân Đỉnh, Hà Nội
SĐT: 0357377432
Email: cnt010@shome.vn
Trạng thái: ON                       </t>
  </si>
  <si>
    <t xml:space="preserve">Tên : Chi nhánh Test 11     Mã: cnt011                          
Loại: Chi nhánh
Địa chỉ:  4 Đường Nguyễn Đỗ Cung, Hòa Khánh, Đà Nẵng
SĐT: 0357377456
Email: cnt011@shome.vn
Trạng thái: ON                       </t>
  </si>
  <si>
    <t>1. Hệ thống không chấp nhận mã không đúng quy tắc.
2. Hiển thị thông báo "Mã chỉ được chứa chữ hoa, số, gạch ngang và gạch dưới"
3. Không tạo bản ghi mới.</t>
  </si>
  <si>
    <t xml:space="preserve">Tên: Chi nhánh Test 12
Mã: CNT@012                        
Loại: Chi nhánh
Địa chỉ:  6 Đường Nguyễn Đỗ Cung, Hòa Khánh, Đà Nẵng
SĐT: 0357377458
Email: cnt012@shome.vn
Trạng thái: ON                       </t>
  </si>
  <si>
    <t xml:space="preserve">Tên: Chi nhánh Test 13
Mã: CNT 013                        
Loại: Chi nhánh
Địa chỉ:  6 Đường Nguyễn Đỗ Cung, Hòa Khánh, Đà Nẵng
SĐT: 0357377458
Email: cnt012@shome.vn
Trạng thái: ON                       </t>
  </si>
  <si>
    <t>Hệ thống đã tồn tại chi nhánh có mã BN001</t>
  </si>
  <si>
    <t xml:space="preserve">Mã: CNT003                           
Loại: Chi nhánh
Địa chỉ: 134 Nguyễn Cao, Kinh Bắc, Bắc Ninh
SĐT: 0286437475
Email: cn003@shome.vn
Trạng thái: ON                       </t>
  </si>
  <si>
    <t xml:space="preserve">Mã: CNT004                          
Loại: Chi nhánh
Địa chỉ: 136 Nguyễn Cao, Kinh Bắc, Bắc Ninh
SĐT: 0286437432
Email: cn004@shome.vn
Trạng thái: ON                       </t>
  </si>
  <si>
    <t xml:space="preserve">Tên: Chi nhánh Test 16
Mã: BN001
</t>
  </si>
  <si>
    <t>Không focus vào ô mã chi nhánh, có thông báo"Có lỗ xảy ra khi tạo chi nhánh"</t>
  </si>
  <si>
    <t>1. Không tạo chi nhánh mới.
2. Hiển thị lỗi mã chi nhánh đã tồn tại.
3. Không tạo thêm bản ghi có mã BN001.</t>
  </si>
  <si>
    <t>1. Nhập đầy đủ Tên và Mã hợp lệ.
2. Nhập SĐT 10 số.
3. Nhập các thông tin còn lại hợp lệ.
4. Click Tạo mới.</t>
  </si>
  <si>
    <t xml:space="preserve">Tên: Chi nhánh Test 17
Mã: CNT017                       
Loại: Chi nhánh
Địa chỉ:  4 Đường Nguyễn Đỗ Cung, Hòa Khánh, Đà Nẵng
SĐT: 0357377456
Email: cnt017@shome.vn
Trạng thái: ON           </t>
  </si>
  <si>
    <t xml:space="preserve">Tên: Chi nhánh Test 18
Mã: CNT018                       
Loại: Chi nhánh
Địa chỉ:  4 Đường Nguyễn Đỗ Cung, Hòa Khánh, Đà Nẵng
SĐT: 03573774567
Email: cnt018@shome.vn
Trạng thái: ON           </t>
  </si>
  <si>
    <t xml:space="preserve">Tên: Chi nhánh Test 19
Mã: CNT019                       
Loại: Chi nhánh
Địa chỉ:  4 Đường Nguyễn Đỗ Cung, Hòa Khánh, Đà Nẵng
SĐT: 0357
Email: cnt019@shome.vn
Trạng thái: ON           </t>
  </si>
  <si>
    <t>1. Tạo được chi nhánh mới                                 2. Không hiển thị lỗi nhập sđt</t>
  </si>
  <si>
    <t>Có chi nhánh BN001 với đầy đủ thông tin</t>
  </si>
  <si>
    <t>1. Truy cập Danh sách chi nhánh.
2. Click Sửa tại chi nhánh BN001.
3. Quan sát các trường trên form.</t>
  </si>
  <si>
    <t>1. Khi lưu danh sách chi nhánh hiển thị trạng thái không hoạt động     2. Chọn loại “Chi nhánh” khi tạo nhưng khi xem chi tiết lại hiển thị “Trụ sở chính”.</t>
  </si>
  <si>
    <t>1.Trường Loại chi nhánh hiển thị Trụ sở chính thay vì Chi nhánh                             2. Mất dữ liệu email</t>
  </si>
  <si>
    <t>Đã mở form Sửa chi nhánh BN001</t>
  </si>
  <si>
    <t>1. Xóa Tên chi nhánh hiện tại.
2. Nhập tên chi nhánh
3. Không thay đổi các trường khác.
4. Click Lưu/Cập nhật.
5. Kiểm tra danh sách.</t>
  </si>
  <si>
    <t>Tên:  Chi nhánh Bắc Ninh Mới</t>
  </si>
  <si>
    <t>Kiểm tra cập nhật khi thay đổi Địa chỉ</t>
  </si>
  <si>
    <t>1. Xóa SĐT hiện tại.
2. Nhập 0357.
3. Click Lưu/Cập nhật.</t>
  </si>
  <si>
    <t xml:space="preserve">1. Cập nhật thành công         2. Không hiển thị lỗi </t>
  </si>
  <si>
    <t>không cập nhật được</t>
  </si>
  <si>
    <t xml:space="preserve">1. Popup xác nhận xóa được hiển thị.
2. Popup có nội dung “Bạn có chắc chắn muốn xóa chi nhánh này?”.
3. Có button "Hủy"/"Không" </t>
  </si>
  <si>
    <t>button hiển thị ok/huỷ</t>
  </si>
  <si>
    <t>Xoá chi nhánh thánh công</t>
  </si>
  <si>
    <t>1. Chi nhánh được xóa thành công.
2. Hệ thống hiển thị thông báo xóa thành công.
3. Chi nhánh không còn xuất hiện trong danh sách.</t>
  </si>
  <si>
    <t>1. Click icon "Xóa" tại 1 chi nhánh không có dữ liệu liên kết
2. Tại popup, click "Ok"</t>
  </si>
  <si>
    <t>1. Hiển thị chữ "Thông tin cơ bản"
2. Font-size, font-weight đúng design</t>
  </si>
  <si>
    <t>1. Label: Tên thương hiệu
2. Căn lề, font-size, font-weight, màu sắc đúng design</t>
  </si>
  <si>
    <t>1. Hiển thị textbox với border, padding, height đúng design
2. Hiển thị placeholder "Nhập tên thương hiệu"
3. Chiều rộng full theo layout
4. Border-radius, màu border đúng design</t>
  </si>
  <si>
    <t>1. Label: Slug
2. Font-size, font-weight đúng design</t>
  </si>
  <si>
    <t>1. Hiển thị textbox với border, padding, height đúng design
2. Hiển thị placeholder "ten-thuong-hieu"
3. Border-radius, màu border đúng design</t>
  </si>
  <si>
    <t>1. Hiển thị chữ "Tự động tạo nếu để trống"
2. Font-size, màu sắc đúng design</t>
  </si>
  <si>
    <t>1. Label: Logo thương hiệu, màu cam/nổi bật
2. Font-size, font-weight đúng design</t>
  </si>
  <si>
    <t>1. Hiển thị khung viền nét đứt (dashed border) màu cam
2. Chiều cao, chiều rộng đúng design
3. Có hướng dẫn/icon upload (kéo thả hoặc click để chọn file) hiển thị rõ ràng bên trong khung</t>
  </si>
  <si>
    <t>1. Label: Thứ tự hiển thị, màu cam/nổi bật
2. Font-size, font-weight đúng design</t>
  </si>
  <si>
    <t>1. Hiển thị giá trị mặc định "0"
2. Chỉ cho phép nhập số
3. Border, padding, border-radius đúng design</t>
  </si>
  <si>
    <t>1. Label: Trạng thái, màu cam/nổi bật
2. Font-size, font-weight đúng design</t>
  </si>
  <si>
    <t>1. Hiển thị dropdown với giá trị mặc định "Kích hoạt"
2. Có icon mũi tên xổ xuống bên phải
3. Border, padding, border-radius đúng design</t>
  </si>
  <si>
    <t>1. Hiển thị danh sách các trạng thái xổ xuống (vd: Kích hoạt, Ngừng kích hoạt)
2. Đầy đủ các option</t>
  </si>
  <si>
    <t>1. Hiển thị icon mũi tên lên dạng nút tròn, màu cam
2. Click vào icon, trang cuộn lên đầu</t>
  </si>
  <si>
    <t>1. Hiển thị đúng text copyright
2. "S.HOME" hiển thị màu cam nổi bật, có thể là link</t>
  </si>
  <si>
    <t>Untested</t>
  </si>
  <si>
    <t>Tên thương hiệu: Test Brand 001
Slug: test-brand-001
Logo: R.jpg
Thứ tự hiển thị: 1
Trạng thái: Kích hoạt</t>
  </si>
  <si>
    <t>Không upload được logo</t>
  </si>
  <si>
    <t>1. Không tạo thương hiệu.
2. Hiển thị lỗi "Vui lòng nhập tên thương hiệu" ngay tại field (inline)
3. Focus vào field Tên thương hiệu
4. Không gửi request tạo mới</t>
  </si>
  <si>
    <t xml:space="preserve">Vẫn tạo được thương hiệu </t>
  </si>
  <si>
    <t>1. Truy cập màn hình “Tạo thương hiệu”.
2. Nhập Tên thương hiệu.
3. Nhập Slug.
4. Click “Tạo thương hiệu mới”.</t>
  </si>
  <si>
    <t>1. UI chặn không cho chọn
2. Không upload được file</t>
  </si>
  <si>
    <t>1. Mở form Tạo thương hiệu.
2. Nhập Tên thương hiệu.
3. Nhập Slug.
4. Nhập Thứ tự hiển thị
5. Click “Tạo thương hiệu mới”.</t>
  </si>
  <si>
    <t>1. logo1.jpg được upload và hiển thị preview.
2. Khi thay đổi Logo, ảnh cũ được thay thế bằng logo2.png.
3. Preview hiển thị đúng logo2.png.
4. Khi tạo thương hiệu, hệ thống lưu Logo mới (logo2.png).</t>
  </si>
  <si>
    <t>1. Không cho phép nhập giá trị âm vào ô Thứ tự hiển thị.
2. Giá trị trong ô luôn ≥ 0.</t>
  </si>
  <si>
    <t>Chặn XSS – Nhập script vào field "Tên thương hiệu</t>
  </si>
  <si>
    <t>1. Truy cập màn hình "Tạo thương hiệu"
2. Nhập Tên thương hiệu: &lt;script&gt;alert('XSS')&lt;/script&gt;
3. Nhập Slug: "test-brand-017"
4. Click khu vực upload Logo, chọn file ảnh hợp lệ
5. Nhập Thứ tự hiển thị: "10"
6. Chọn Trạng thái: "Kích hoạt"
7. Click nút "Tạo thương hiệu mới"
8. Xem lại thương hiệu ở trang chi tiết</t>
  </si>
  <si>
    <t>1. Script không được thực thi
2. Nội dung được escape/sanitize
3. Không tạo lỗ hổng stored XSS</t>
  </si>
  <si>
    <t>Kiểm tra button "Lưu nháp"</t>
  </si>
  <si>
    <t>Kiểm tra button "Tạo"</t>
  </si>
  <si>
    <t>Kiểm tra tiêu đề section "Thông tin kho"</t>
  </si>
  <si>
    <t>Kiểm tra label "Mã kho"</t>
  </si>
  <si>
    <t>Kiểm tra textbox "Mã kho"</t>
  </si>
  <si>
    <t>Kiểm tra label "Tên kho"</t>
  </si>
  <si>
    <t>Kiểm tra textbox "Tên kho"</t>
  </si>
  <si>
    <t>Kiểm tra label "Chi nhánh"</t>
  </si>
  <si>
    <t>Kiểm tra dropdown "Chi nhánh"</t>
  </si>
  <si>
    <t>Kiểm tra click mở dropdown "Chi nhánh"</t>
  </si>
  <si>
    <t>Kiểm tra chọn giá trị trong dropdown "Chi nhánh"</t>
  </si>
  <si>
    <t>Kiểm tra tiêu đề section "Địa chỉ"</t>
  </si>
  <si>
    <t>Kiểm tra label "Đơn vị hành chính"</t>
  </si>
  <si>
    <t>Kiểm tra dropdown "Đơn vị hành chính" giá trị mặc định</t>
  </si>
  <si>
    <t>Kiểm tra dòng ghi chú dưới "Đơn vị hành chính"</t>
  </si>
  <si>
    <t>Kiểm tra click mở dropdown "Đơn vị hành chính"</t>
  </si>
  <si>
    <t>Kiển tra hiển thị dropdown "Đơn vị hành chính"</t>
  </si>
  <si>
    <t>Kiểm tra dropdown "Tỉnh/Thành phố"</t>
  </si>
  <si>
    <t>Kiểm tra dropdown "Quận/Huyện" ở trạng thái disable khi chưa chọn Tỉnh/Thành phố</t>
  </si>
  <si>
    <t>Kiểm tra dropdown "Phường/Xã" ở trạng thái disable khi chưa chọn Quận/Huyện</t>
  </si>
  <si>
    <t>Kiểm tra chọn Tỉnh/Thành phố mở khóa dropdown Quận/Huyện</t>
  </si>
  <si>
    <t>Kiểm tra chọn Quận/Huyện mở khóa dropdown Phường/Xã</t>
  </si>
  <si>
    <t>Kiểm tra đổi "Đơn vị hành chính" sang "Mới (2 cấp)"</t>
  </si>
  <si>
    <t>Kiểm tra textarea "Địa chỉ chi tiết"</t>
  </si>
  <si>
    <t>Kiểm tra label "Ghi chú"</t>
  </si>
  <si>
    <t>Kiểm tra textarea "Ghi chú"</t>
  </si>
  <si>
    <t>Click vào dropdown "Chi nhánh"</t>
  </si>
  <si>
    <t>1. Click dropdown
2. Chọn 1 chi nhánh</t>
  </si>
  <si>
    <t>1. Click dropdown
2. Chọn giá trị khác "Hoạt động"</t>
  </si>
  <si>
    <t>Vào màn hình, quan sát text dưới dropdown</t>
  </si>
  <si>
    <t>Click vào dropdown</t>
  </si>
  <si>
    <t>1. Click vào dropdown
2. Chọn Cũ/</t>
  </si>
  <si>
    <t>1. Click dropdown Tỉnh/Thành phố
2. Chọn 1 tỉnh/thành phố</t>
  </si>
  <si>
    <t>1. Đã chọn Tỉnh/Thành phố
2. Click dropdown Quận/Huyện, chọn 1 quận/huyện</t>
  </si>
  <si>
    <t>1. Chọn "Mới (2 cấp)" trong dropdown Đơn vị hành chính</t>
  </si>
  <si>
    <t>Vào màn hình, quan sát textarea</t>
  </si>
  <si>
    <t>1. Hiển thị chữ "Lưu nháp"
2. Màu nền vàng nhạt, chữ vàng đậm, border-radius đúng design
3. Vị trí góc phải trên cùng</t>
  </si>
  <si>
    <t>1. Hiển thị chữ "Tạo"
2. Màu nền cam, chữ đen/đậm, border-radius đúng design
3. Vị trí góc phải trên cùng, cạnh button "Lưu nháp"</t>
  </si>
  <si>
    <t>1. Hiển thị chữ "Thông tin kho"
2. Font-size, font-weight đúng design</t>
  </si>
  <si>
    <t>1. Label: Mã kho, màu cam/nổi bật
2. Font-size, font-weight đúng design</t>
  </si>
  <si>
    <t>1. Hiển thị textbox với border, padding, height đúng design
2. Hiển thị placeholder "Nhập mã kho"
3. Border-radius, màu border đúng design</t>
  </si>
  <si>
    <t>1. Label: Tên kho, màu cam/nổi bật
2. Font-size, font-weight đúng design</t>
  </si>
  <si>
    <t>1. Hiển thị textbox với border, padding, height đúng design
2. Hiển thị placeholder "Nhập tên kho"
3. Border-radius, màu border đúng design</t>
  </si>
  <si>
    <t>1. Label: Chi nhánh
2. Font-size, font-weight đúng design</t>
  </si>
  <si>
    <t>1. Hiển thị dropdown với border, padding, height đúng design
2. Không có giá trị mặc định (trống)
3. Có icon mũi tên xổ xuống bên phải</t>
  </si>
  <si>
    <t>1. Hiển thị danh sách các chi nhánh đang tồn tại xổ xuống đầy đủ</t>
  </si>
  <si>
    <t>1. Label: Trạng thái
2. Font-size, font-weight đúng design</t>
  </si>
  <si>
    <t>1. Hiển thị giá trị mặc định "Hoạt động"
2. Có icon mũi tên xổ xuống bên phải</t>
  </si>
  <si>
    <t>1. Hiển thị danh sách các trạng thái (vd: Hoạt động, Ngừng hoạt động)
2. Đầy đủ option</t>
  </si>
  <si>
    <t>1. Giá trị được chọn hiển thị đúng
2. Dropdown đóng lại</t>
  </si>
  <si>
    <t>1. Hiển thị chữ "Địa chỉ"
2. Font-size, font-weight đúng design</t>
  </si>
  <si>
    <t>1. Label: Đơn vị hành chính
2. Hiển thị dạng floating label nằm trên viền dropdown</t>
  </si>
  <si>
    <t>1. Hiển thị giá trị mặc định "Cũ (3 cấp)"
2. Có icon mũi tên xổ xuống bên phải</t>
  </si>
  <si>
    <t>1. Hiển thị chữ "Chọn hệ thống phân cấp địa chỉ theo chuẩn Việt Nam"
2. Font-size, màu sắc đúng design</t>
  </si>
  <si>
    <t>1. Hiển thị danh sách lựa chọn: Cũ (3 cấp), Mới (2 cấp))
2. Đầy đủ option</t>
  </si>
  <si>
    <t>1. Hiển thị lựa chọn trên dropdown
2. Không bị cắt mất text</t>
  </si>
  <si>
    <t>1. Hiển thị dropdown với placeholder "Tỉnh/Thành phố"
2. Có icon mũi tên xổ xuống bên phải</t>
  </si>
  <si>
    <t>1. Dropdown "Quận/Huyện" ở trạng thái disable (mờ)
2. Hiển thị dòng ghi chú "Vui lòng chọn tỉnh/thành phố trước"</t>
  </si>
  <si>
    <t>1. Dropdown "Phường/Xã" ở trạng thái disable (mờ)
2. Hiển thị dòng ghi chú "Vui lòng chọn quận/huyện trước"</t>
  </si>
  <si>
    <t>1. Dropdown Quận/Huyện chuyển sang trạng thái active (không còn mờ)
2. Dropdown Quận/Huyện load danh sách tương ứng với tỉnh đã chọn</t>
  </si>
  <si>
    <t>1. Dropdown Phường/Xã chuyển sang trạng thái active
2. Dropdown Phường/Xã load danh sách tương ứng</t>
  </si>
  <si>
    <t>1. Layout địa chỉ thay đổi tương ứng (vd: ẩn Quận/Huyện, chỉ còn Tỉnh/Thành phố và Phường/Xã)
2. Không vỡ layout</t>
  </si>
  <si>
    <t>1. Hiển thị placeholder "Dia chi chi tiet"
2. Border, padding, height, chiều rộng full đúng design</t>
  </si>
  <si>
    <t>1. Label: Ghi chú
2. Font-size, font-weight đúng design</t>
  </si>
  <si>
    <t>1. Hiển thị placeholder "Nhập ghi chú"
2. Border, padding, height, chiều rộng full đúng design</t>
  </si>
  <si>
    <t>Tên kho: Kho Test 003
Chi nhánh: Chi nhánh Hà Nội
Trạng thái: Hoạt động
Đơn vị hành chính: Mới (2 cấp)
Tỉnh/Thành phố: Hà Nội
Phường/Xã: Long Biên
Địa chỉ chi tiết: 48 Ngô Gia Tự
Ghi chú: Kho Hà Nội</t>
  </si>
  <si>
    <t>Tên kho: Kho Test 004
Chi nhánh: Chi nhánh Hà Nội
Trạng thái: Hoạt động
Đơn vị hành chính: Mới (2 cấp)
Tỉnh/Thành phố: Hà Nội
Phường/Xã: Long Biên
Địa chỉ chi tiết: 48 Ngô Gia Tự
Ghi chú: Kho Hà Nội</t>
  </si>
  <si>
    <t>Tạo được kho</t>
  </si>
  <si>
    <t>Mã kho: KHO005
Tên kho: Kho Test 005                 Chi nhánh: Chi nhánh Bắc Ninh mới
Trạng thái: Hoạt động
Đơn vị hành chính: Mới (2 cấp)
Tỉnh/Thành phố: Bắc Ninh
Phường/Xã: Bắc Giang
Địa chỉ chi tiết: 48 Hoàng Hoa Thám
Ghi chú: Kho Bắc Ninh</t>
  </si>
  <si>
    <t>Mã kho: KHO-006
Tên kho: Kho Test 006                 Chi nhánh: Chi nhánh Quân 1
Trạng thái: Hoạt động
Đơn vị hành chính: Mới (2 cấp)
Tỉnh/Thành phố: Hồ Chí Minh
Phường/Xã: Thủ Đức
Địa chỉ chi tiết: 20 Đường số 1
Ghi chú: Kho Thủ Đức</t>
  </si>
  <si>
    <t>Mã kho: KHO_007
Tên kho: Kho Test 007               Chi nhánh: Chi nhánh Test 19
Trạng thái: Hoạt động
Đơn vị hành chính: Mới (2 cấp)
Tỉnh/Thành phố: Hồ Chí Minh
Phường/Xã: Thủ Đức
Địa chỉ chi tiết: 20 Đường số 1
Ghi chú: Kho Thủ Đức</t>
  </si>
  <si>
    <t>Mã kho: KHO008!
Tên kho: Kho Test 008               Chi nhánh: Chi nhánh Test 17
Trạng thái: Hoạt động
Đơn vị hành chính: Mới (2 cấp)
Tỉnh/Thành phố: Điện Biên
Phường/Xã: Mường Nhé
Địa chỉ chi tiết: 1 National Route
Ghi chú: Kho Thủ Đức</t>
  </si>
  <si>
    <t>Đã tồn tại kho có Mã kho KHO005.</t>
  </si>
  <si>
    <t>Không hiển thị thông báo mã kho đã tồn tại</t>
  </si>
  <si>
    <t>Mã kho: KHO005
Tên kho: Kho Test Trùng</t>
  </si>
  <si>
    <t>vẫn tạo kho</t>
  </si>
  <si>
    <t>Mã kho đã tồn tại: KHO0015
Mã kho nhập: KhO005
Tên kho: Kho Test Trùng</t>
  </si>
  <si>
    <t>1. Hệ thống coi KhO005 và KHO005 là cùng một mã.
2. Không tạo kho.
3. Hiển thị lỗi mã kho đã tồn tại.</t>
  </si>
  <si>
    <t>1. Đảm bảo đã có kho với mã KHO005.
2. Mở màn hình Tạo kho.
3. Nhập mã kho.
4. Nhập Tên kho.
5. Nhập/chọn các dữ liệu bắt buộc.
6. Click Tạo.</t>
  </si>
  <si>
    <t>1. Mở màn hình Tạo kho.
2. Nhập "Kho nháp 001" vào Tên kho.
3. Không nhập Mã kho.
4. Không nhập các thông tin còn lại.
5. Click “Lưu nháp”.
6. Kiểm tra thông báo.
7. Kiểm tra danh sách kho.</t>
  </si>
  <si>
    <t>Không lưu nháp được</t>
  </si>
  <si>
    <t>NO</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</si>
</sst>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charset val="1"/>
    </font>
    <font>
      <b/>
      <sz val="16"/>
      <name val="Arial"/>
      <charset val="1"/>
    </font>
    <font>
      <b/>
      <sz val="10"/>
      <name val="Arial"/>
      <charset val="1"/>
    </font>
    <font>
      <sz val="10"/>
      <name val="Arial"/>
      <charset val="1"/>
    </font>
    <font>
      <b/>
      <sz val="10"/>
      <color rgb="FFFFFFFF"/>
      <name val="Arial"/>
      <charset val="1"/>
    </font>
    <font>
      <b/>
      <sz val="10"/>
      <name val="Arial"/>
      <family val="2"/>
    </font>
    <font>
      <sz val="11"/>
      <color theme="0"/>
      <name val="Calibri"/>
      <family val="2"/>
      <charset val="1"/>
    </font>
    <font>
      <b/>
      <sz val="10"/>
      <color theme="0"/>
      <name val="Arial"/>
      <family val="2"/>
    </font>
    <font>
      <sz val="10"/>
      <color theme="3"/>
      <name val="Arial"/>
      <family val="2"/>
    </font>
    <font>
      <sz val="10"/>
      <name val="Arial"/>
      <family val="2"/>
    </font>
    <font>
      <b/>
      <sz val="10"/>
      <color rgb="FFFFFFFF"/>
      <name val="Arial"/>
      <family val="2"/>
    </font>
  </fonts>
  <fills count="6">
    <fill>
      <patternFill patternType="none"/>
    </fill>
    <fill>
      <patternFill patternType="gray125"/>
    </fill>
    <fill>
      <patternFill patternType="solid">
        <fgColor rgb="FF525252"/>
        <bgColor rgb="FF333333"/>
      </patternFill>
    </fill>
    <fill>
      <patternFill patternType="solid">
        <fgColor rgb="FFF2F2F2"/>
        <bgColor rgb="FFFFFFFF"/>
      </patternFill>
    </fill>
    <fill>
      <patternFill patternType="solid">
        <fgColor theme="1" tint="0.34998626667073579"/>
        <bgColor indexed="64"/>
      </patternFill>
    </fill>
    <fill>
      <patternFill patternType="solid">
        <fgColor theme="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0" fillId="0" borderId="0" xfId="0" applyBorder="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0" fillId="2" borderId="1" xfId="0" applyFill="1" applyBorder="1"/>
    <xf numFmtId="0" fontId="2" fillId="3" borderId="1" xfId="0" applyFont="1" applyFill="1" applyBorder="1"/>
    <xf numFmtId="0" fontId="3" fillId="0" borderId="1" xfId="0" applyFont="1" applyBorder="1" applyAlignment="1">
      <alignment horizontal="center" vertical="center" wrapText="1"/>
    </xf>
    <xf numFmtId="0" fontId="0" fillId="0" borderId="2" xfId="0" applyBorder="1"/>
    <xf numFmtId="0" fontId="2" fillId="0" borderId="2" xfId="0" applyFont="1" applyBorder="1"/>
    <xf numFmtId="0" fontId="3" fillId="0" borderId="2" xfId="0" applyFont="1" applyBorder="1"/>
    <xf numFmtId="0" fontId="4" fillId="2" borderId="2" xfId="0" applyFont="1" applyFill="1" applyBorder="1" applyAlignment="1">
      <alignment horizontal="center" vertical="center" wrapText="1"/>
    </xf>
    <xf numFmtId="0" fontId="3" fillId="0" borderId="2" xfId="0" applyFont="1" applyBorder="1" applyAlignment="1">
      <alignment horizontal="left" vertical="top" wrapText="1"/>
    </xf>
    <xf numFmtId="0" fontId="4" fillId="2" borderId="5" xfId="0" applyFont="1" applyFill="1" applyBorder="1" applyAlignment="1">
      <alignment horizontal="center" vertical="center" wrapText="1"/>
    </xf>
    <xf numFmtId="0" fontId="3" fillId="0" borderId="2" xfId="0" applyFont="1" applyBorder="1" applyAlignment="1">
      <alignment horizontal="center" vertical="top" wrapText="1"/>
    </xf>
    <xf numFmtId="0" fontId="8" fillId="0" borderId="0" xfId="0" applyFont="1"/>
    <xf numFmtId="0" fontId="6" fillId="4" borderId="2" xfId="0" applyFont="1" applyFill="1" applyBorder="1"/>
    <xf numFmtId="0" fontId="7" fillId="4" borderId="2" xfId="0" applyFont="1" applyFill="1" applyBorder="1"/>
    <xf numFmtId="0" fontId="7" fillId="4" borderId="2" xfId="0" applyFont="1" applyFill="1" applyBorder="1" applyAlignment="1">
      <alignment horizontal="center" vertical="top" wrapText="1"/>
    </xf>
    <xf numFmtId="0" fontId="4" fillId="2" borderId="6" xfId="0" applyFont="1" applyFill="1" applyBorder="1" applyAlignment="1">
      <alignment horizontal="center" vertical="center" wrapText="1"/>
    </xf>
    <xf numFmtId="0" fontId="2" fillId="0" borderId="2" xfId="0" applyFont="1" applyBorder="1" applyAlignment="1">
      <alignment horizontal="left" vertical="top" wrapText="1"/>
    </xf>
    <xf numFmtId="0" fontId="5" fillId="0" borderId="2" xfId="0" applyFont="1" applyBorder="1" applyAlignment="1">
      <alignment horizontal="left" vertical="top" wrapText="1"/>
    </xf>
    <xf numFmtId="9" fontId="3" fillId="0" borderId="2" xfId="0" applyNumberFormat="1" applyFont="1" applyBorder="1" applyAlignment="1">
      <alignment horizontal="center" vertical="top" wrapText="1"/>
    </xf>
    <xf numFmtId="0" fontId="3" fillId="5" borderId="1" xfId="0" applyFont="1" applyFill="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2" borderId="1"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7" xfId="0" applyFont="1" applyFill="1" applyBorder="1" applyAlignment="1">
      <alignment horizontal="left" vertical="top" wrapText="1"/>
    </xf>
    <xf numFmtId="0" fontId="1" fillId="0" borderId="2" xfId="0" applyFont="1" applyBorder="1" applyAlignment="1">
      <alignment horizontal="center" vertical="center"/>
    </xf>
    <xf numFmtId="0" fontId="3" fillId="0" borderId="2" xfId="0" applyFont="1" applyBorder="1"/>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xf numFmtId="0" fontId="0" fillId="0" borderId="2" xfId="0" applyBorder="1"/>
    <xf numFmtId="0" fontId="1" fillId="0" borderId="0" xfId="0" applyFont="1" applyBorder="1" applyAlignment="1">
      <alignment horizontal="center" vertical="center"/>
    </xf>
    <xf numFmtId="0" fontId="2" fillId="3" borderId="1"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3" fillId="0" borderId="2" xfId="0" applyFont="1" applyBorder="1" applyAlignment="1">
      <alignment horizontal="left" vertical="top" wrapText="1"/>
    </xf>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10" fillId="2" borderId="5" xfId="0" applyFont="1" applyFill="1" applyBorder="1" applyAlignment="1">
      <alignment horizontal="center" vertical="center" wrapText="1"/>
    </xf>
  </cellXfs>
  <cellStyles count="1">
    <cellStyle name="Normal" xfId="0" builtinId="0"/>
  </cellStyles>
  <dxfs count="69">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0" tint="-0.149967955565050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525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G65"/>
  <sheetViews>
    <sheetView topLeftCell="B1" zoomScale="89" zoomScaleNormal="89" workbookViewId="0">
      <selection activeCell="H10" sqref="H10"/>
    </sheetView>
  </sheetViews>
  <sheetFormatPr defaultColWidth="8.6328125" defaultRowHeight="14.5" x14ac:dyDescent="0.35"/>
  <cols>
    <col min="1" max="1" width="3" customWidth="1"/>
    <col min="2" max="2" width="18" customWidth="1"/>
    <col min="3" max="3" width="22" customWidth="1"/>
    <col min="4" max="4" width="34" customWidth="1"/>
    <col min="5" max="5" width="16" customWidth="1"/>
    <col min="6" max="6" width="20" customWidth="1"/>
    <col min="7" max="7" width="18" customWidth="1"/>
  </cols>
  <sheetData>
    <row r="2" spans="2:7" ht="20" x14ac:dyDescent="0.35">
      <c r="B2" s="10"/>
      <c r="C2" s="32" t="s">
        <v>0</v>
      </c>
      <c r="D2" s="32"/>
      <c r="E2" s="32"/>
      <c r="F2" s="32"/>
      <c r="G2" s="32"/>
    </row>
    <row r="4" spans="2:7" x14ac:dyDescent="0.35">
      <c r="B4" s="11" t="s">
        <v>1</v>
      </c>
      <c r="C4" s="33" t="s">
        <v>2</v>
      </c>
      <c r="D4" s="33"/>
      <c r="E4" s="33"/>
      <c r="F4" s="11" t="s">
        <v>3</v>
      </c>
      <c r="G4" s="12" t="s">
        <v>66</v>
      </c>
    </row>
    <row r="5" spans="2:7" x14ac:dyDescent="0.35">
      <c r="B5" s="11" t="s">
        <v>4</v>
      </c>
      <c r="C5" s="33" t="s">
        <v>5</v>
      </c>
      <c r="D5" s="33"/>
      <c r="E5" s="33"/>
      <c r="F5" s="11" t="s">
        <v>6</v>
      </c>
      <c r="G5" s="12"/>
    </row>
    <row r="6" spans="2:7" x14ac:dyDescent="0.35">
      <c r="B6" s="34" t="s">
        <v>7</v>
      </c>
      <c r="C6" s="33"/>
      <c r="D6" s="33"/>
      <c r="E6" s="33"/>
      <c r="F6" s="11" t="s">
        <v>8</v>
      </c>
      <c r="G6" s="12" t="s">
        <v>67</v>
      </c>
    </row>
    <row r="7" spans="2:7" x14ac:dyDescent="0.35">
      <c r="B7" s="35"/>
      <c r="C7" s="33"/>
      <c r="D7" s="33"/>
      <c r="E7" s="33"/>
      <c r="F7" s="11" t="s">
        <v>9</v>
      </c>
      <c r="G7" s="12" t="s">
        <v>10</v>
      </c>
    </row>
    <row r="8" spans="2:7" x14ac:dyDescent="0.35">
      <c r="B8" s="1"/>
      <c r="C8" s="1"/>
      <c r="D8" s="1"/>
      <c r="E8" s="1"/>
      <c r="F8" s="1"/>
      <c r="G8" s="1"/>
    </row>
    <row r="9" spans="2:7" x14ac:dyDescent="0.35">
      <c r="B9" s="1"/>
      <c r="C9" s="1"/>
      <c r="D9" s="1"/>
      <c r="E9" s="1"/>
      <c r="F9" s="1"/>
      <c r="G9" s="1"/>
    </row>
    <row r="10" spans="2:7" x14ac:dyDescent="0.35">
      <c r="B10" s="13" t="s">
        <v>11</v>
      </c>
      <c r="C10" s="13" t="s">
        <v>12</v>
      </c>
      <c r="D10" s="13" t="s">
        <v>13</v>
      </c>
      <c r="E10" s="13" t="s">
        <v>14</v>
      </c>
      <c r="F10" s="13" t="s">
        <v>15</v>
      </c>
    </row>
    <row r="11" spans="2:7" x14ac:dyDescent="0.35">
      <c r="B11" s="14"/>
      <c r="C11" s="14"/>
      <c r="D11" s="14"/>
      <c r="E11" s="14"/>
      <c r="F11" s="14"/>
    </row>
    <row r="12" spans="2:7" x14ac:dyDescent="0.35">
      <c r="B12" s="10"/>
      <c r="C12" s="10"/>
      <c r="D12" s="10"/>
      <c r="E12" s="10"/>
      <c r="F12" s="10"/>
    </row>
    <row r="13" spans="2:7" x14ac:dyDescent="0.35">
      <c r="B13" s="10"/>
      <c r="C13" s="10"/>
      <c r="D13" s="10"/>
      <c r="E13" s="10"/>
      <c r="F13" s="10"/>
    </row>
    <row r="14" spans="2:7" x14ac:dyDescent="0.35">
      <c r="B14" s="10"/>
      <c r="C14" s="10"/>
      <c r="D14" s="10"/>
      <c r="E14" s="10"/>
      <c r="F14" s="10"/>
    </row>
    <row r="15" spans="2:7" x14ac:dyDescent="0.35">
      <c r="B15" s="10"/>
      <c r="C15" s="10"/>
      <c r="D15" s="10"/>
      <c r="E15" s="10"/>
      <c r="F15" s="10"/>
    </row>
    <row r="27" ht="98" customHeight="1" x14ac:dyDescent="0.35"/>
    <row r="28" ht="101" customHeight="1" x14ac:dyDescent="0.35"/>
    <row r="33" spans="1:1" ht="107" customHeight="1" x14ac:dyDescent="0.35"/>
    <row r="41" spans="1:1" x14ac:dyDescent="0.35">
      <c r="A41" t="s">
        <v>130</v>
      </c>
    </row>
    <row r="42" spans="1:1" x14ac:dyDescent="0.35">
      <c r="A42" t="s">
        <v>131</v>
      </c>
    </row>
    <row r="43" spans="1:1" x14ac:dyDescent="0.35">
      <c r="A43" t="s">
        <v>132</v>
      </c>
    </row>
    <row r="44" spans="1:1" x14ac:dyDescent="0.35">
      <c r="A44" t="s">
        <v>133</v>
      </c>
    </row>
    <row r="45" spans="1:1" x14ac:dyDescent="0.35">
      <c r="A45" t="s">
        <v>134</v>
      </c>
    </row>
    <row r="46" spans="1:1" x14ac:dyDescent="0.35">
      <c r="A46" t="s">
        <v>135</v>
      </c>
    </row>
    <row r="47" spans="1:1" x14ac:dyDescent="0.35">
      <c r="A47" t="s">
        <v>136</v>
      </c>
    </row>
    <row r="48" spans="1:1" x14ac:dyDescent="0.35">
      <c r="A48" t="s">
        <v>137</v>
      </c>
    </row>
    <row r="49" spans="1:1" x14ac:dyDescent="0.35">
      <c r="A49" t="s">
        <v>138</v>
      </c>
    </row>
    <row r="50" spans="1:1" x14ac:dyDescent="0.35">
      <c r="A50" t="s">
        <v>139</v>
      </c>
    </row>
    <row r="51" spans="1:1" x14ac:dyDescent="0.35">
      <c r="A51" t="s">
        <v>123</v>
      </c>
    </row>
    <row r="52" spans="1:1" x14ac:dyDescent="0.35">
      <c r="A52" t="s">
        <v>140</v>
      </c>
    </row>
    <row r="53" spans="1:1" x14ac:dyDescent="0.35">
      <c r="A53" t="s">
        <v>184</v>
      </c>
    </row>
    <row r="54" spans="1:1" x14ac:dyDescent="0.35">
      <c r="A54" t="s">
        <v>185</v>
      </c>
    </row>
    <row r="55" spans="1:1" ht="33.5" customHeight="1" x14ac:dyDescent="0.35">
      <c r="A55" t="s">
        <v>186</v>
      </c>
    </row>
    <row r="56" spans="1:1" x14ac:dyDescent="0.35">
      <c r="A56" t="s">
        <v>187</v>
      </c>
    </row>
    <row r="57" spans="1:1" x14ac:dyDescent="0.35">
      <c r="A57" t="s">
        <v>188</v>
      </c>
    </row>
    <row r="59" spans="1:1" x14ac:dyDescent="0.35">
      <c r="A59" t="s">
        <v>189</v>
      </c>
    </row>
    <row r="60" spans="1:1" x14ac:dyDescent="0.35">
      <c r="A60" t="s">
        <v>190</v>
      </c>
    </row>
    <row r="61" spans="1:1" ht="60.5" customHeight="1" x14ac:dyDescent="0.35">
      <c r="A61" t="s">
        <v>191</v>
      </c>
    </row>
    <row r="62" spans="1:1" ht="43.5" customHeight="1" x14ac:dyDescent="0.35">
      <c r="A62" t="s">
        <v>192</v>
      </c>
    </row>
    <row r="63" spans="1:1" x14ac:dyDescent="0.35">
      <c r="A63" t="s">
        <v>193</v>
      </c>
    </row>
    <row r="64" spans="1:1" x14ac:dyDescent="0.35">
      <c r="A64" t="s">
        <v>194</v>
      </c>
    </row>
    <row r="65" spans="1:1" x14ac:dyDescent="0.35">
      <c r="A65" t="s">
        <v>195</v>
      </c>
    </row>
  </sheetData>
  <mergeCells count="5">
    <mergeCell ref="C2:G2"/>
    <mergeCell ref="C4:E4"/>
    <mergeCell ref="C5:E5"/>
    <mergeCell ref="C6:E7"/>
    <mergeCell ref="B6:B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66"/>
  <sheetViews>
    <sheetView showGridLines="0" zoomScale="95" zoomScaleNormal="95" workbookViewId="0">
      <selection activeCell="C22" sqref="C22"/>
    </sheetView>
  </sheetViews>
  <sheetFormatPr defaultColWidth="8.6328125" defaultRowHeight="14.5" x14ac:dyDescent="0.35"/>
  <cols>
    <col min="1" max="1" width="3" customWidth="1"/>
    <col min="2" max="2" width="15.81640625" customWidth="1"/>
    <col min="3" max="3" width="26" customWidth="1"/>
    <col min="4" max="7" width="10" customWidth="1"/>
    <col min="8" max="8" width="20" customWidth="1"/>
  </cols>
  <sheetData>
    <row r="1" spans="2:8" ht="20" x14ac:dyDescent="0.35">
      <c r="B1" s="38" t="s">
        <v>16</v>
      </c>
      <c r="C1" s="38"/>
      <c r="D1" s="38"/>
      <c r="E1" s="38"/>
      <c r="F1" s="38"/>
      <c r="G1" s="38"/>
      <c r="H1" s="38"/>
    </row>
    <row r="3" spans="2:8" x14ac:dyDescent="0.35">
      <c r="B3" s="11" t="s">
        <v>1</v>
      </c>
      <c r="C3" s="33" t="s">
        <v>2</v>
      </c>
      <c r="D3" s="33"/>
      <c r="E3" s="36" t="s">
        <v>3</v>
      </c>
      <c r="F3" s="36"/>
      <c r="G3" s="33" t="str">
        <f>Cover!$G$4</f>
        <v>Dương Thị Ngọc Ánh</v>
      </c>
      <c r="H3" s="33"/>
    </row>
    <row r="4" spans="2:8" x14ac:dyDescent="0.35">
      <c r="B4" s="11" t="s">
        <v>4</v>
      </c>
      <c r="C4" s="33" t="s">
        <v>5</v>
      </c>
      <c r="D4" s="33"/>
      <c r="E4" s="36" t="s">
        <v>6</v>
      </c>
      <c r="F4" s="36"/>
      <c r="G4" s="33"/>
      <c r="H4" s="33"/>
    </row>
    <row r="5" spans="2:8" x14ac:dyDescent="0.35">
      <c r="B5" s="11" t="s">
        <v>7</v>
      </c>
      <c r="C5" s="33"/>
      <c r="D5" s="33"/>
      <c r="E5" s="36" t="s">
        <v>8</v>
      </c>
      <c r="F5" s="36"/>
      <c r="G5" s="33" t="s">
        <v>67</v>
      </c>
      <c r="H5" s="33"/>
    </row>
    <row r="6" spans="2:8" x14ac:dyDescent="0.35">
      <c r="B6" s="11" t="s">
        <v>17</v>
      </c>
      <c r="C6" s="37"/>
      <c r="D6" s="37"/>
      <c r="E6" s="37"/>
      <c r="F6" s="37"/>
      <c r="G6" s="37"/>
      <c r="H6" s="37"/>
    </row>
    <row r="10" spans="2:8" x14ac:dyDescent="0.35">
      <c r="B10" s="45" t="s">
        <v>549</v>
      </c>
      <c r="C10" s="15" t="s">
        <v>18</v>
      </c>
      <c r="D10" s="15" t="s">
        <v>19</v>
      </c>
      <c r="E10" s="15" t="s">
        <v>20</v>
      </c>
      <c r="F10" s="15" t="s">
        <v>21</v>
      </c>
      <c r="G10" s="15" t="s">
        <v>22</v>
      </c>
      <c r="H10" s="15" t="s">
        <v>23</v>
      </c>
    </row>
    <row r="11" spans="2:8" ht="25" x14ac:dyDescent="0.35">
      <c r="B11" s="16">
        <v>1</v>
      </c>
      <c r="C11" s="14" t="str">
        <f>'Test QuanLyChiNhanh'!B2</f>
        <v>Kiểm thử chức năng quản lý chi nhánh (Thêm/Sửa/Xóa)</v>
      </c>
      <c r="D11" s="16">
        <f>'Test QuanLyChiNhanh'!A5</f>
        <v>44</v>
      </c>
      <c r="E11" s="16">
        <f>'Test QuanLyChiNhanh'!B5</f>
        <v>10</v>
      </c>
      <c r="F11" s="16">
        <f>'Test QuanLyChiNhanh'!C5</f>
        <v>0</v>
      </c>
      <c r="G11" s="16">
        <f>'Test QuanLyChiNhanh'!D5</f>
        <v>0</v>
      </c>
      <c r="H11" s="16">
        <f>'Test QuanLyChiNhanh'!E5</f>
        <v>54</v>
      </c>
    </row>
    <row r="12" spans="2:8" ht="25" x14ac:dyDescent="0.35">
      <c r="B12" s="16">
        <v>2</v>
      </c>
      <c r="C12" s="14" t="str">
        <f>'Test QuanLyThuongHieu'!B2</f>
        <v>Kiểm thử chức năng tạo thương hiệu</v>
      </c>
      <c r="D12" s="16">
        <f>'Test QuanLyThuongHieu'!A5</f>
        <v>25</v>
      </c>
      <c r="E12" s="16">
        <f>'Test QuanLyThuongHieu'!B5</f>
        <v>9</v>
      </c>
      <c r="F12" s="16">
        <f>'Test QuanLyThuongHieu'!C5</f>
        <v>0</v>
      </c>
      <c r="G12" s="16">
        <f>'Test QuanLyThuongHieu'!D5</f>
        <v>0</v>
      </c>
      <c r="H12" s="16">
        <f>'Test QuanLyThuongHieu'!E5</f>
        <v>34</v>
      </c>
    </row>
    <row r="13" spans="2:8" x14ac:dyDescent="0.35">
      <c r="B13" s="16">
        <v>3</v>
      </c>
      <c r="C13" s="14" t="str">
        <f>'Test QuanLyKho'!B2</f>
        <v>Kiểm thử chức năng tạo kho</v>
      </c>
      <c r="D13" s="16">
        <f>'Test QuanLyKho'!A5</f>
        <v>44</v>
      </c>
      <c r="E13" s="16">
        <f>'Test QuanLyKho'!B5</f>
        <v>6</v>
      </c>
      <c r="F13" s="16">
        <f>'Test QuanLyKho'!C5</f>
        <v>1</v>
      </c>
      <c r="G13" s="16">
        <f>'Test QuanLyKho'!D5</f>
        <v>0</v>
      </c>
      <c r="H13" s="16">
        <f>'Test QuanLyKho'!E5</f>
        <v>51</v>
      </c>
    </row>
    <row r="14" spans="2:8" x14ac:dyDescent="0.35">
      <c r="B14" s="10"/>
      <c r="C14" s="10"/>
      <c r="D14" s="10"/>
      <c r="E14" s="10"/>
      <c r="F14" s="10"/>
      <c r="G14" s="10"/>
      <c r="H14" s="10"/>
    </row>
    <row r="15" spans="2:8" x14ac:dyDescent="0.35">
      <c r="B15" s="18"/>
      <c r="C15" s="19" t="s">
        <v>24</v>
      </c>
      <c r="D15" s="20">
        <f>SUM(D11:D13)</f>
        <v>113</v>
      </c>
      <c r="E15" s="20">
        <f>SUM(E11:E13)</f>
        <v>25</v>
      </c>
      <c r="F15" s="20">
        <f>SUM(F11:F13)</f>
        <v>1</v>
      </c>
      <c r="G15" s="20">
        <f>SUM(G11:G13)</f>
        <v>0</v>
      </c>
      <c r="H15" s="20">
        <f>SUM(H11:H13)</f>
        <v>139</v>
      </c>
    </row>
    <row r="17" spans="3:6" x14ac:dyDescent="0.35">
      <c r="C17" s="2" t="s">
        <v>25</v>
      </c>
      <c r="E17" s="17">
        <f>IFERROR((D15+E15)*100/H15,0)</f>
        <v>99.280575539568346</v>
      </c>
      <c r="F17" s="3" t="s">
        <v>26</v>
      </c>
    </row>
    <row r="18" spans="3:6" x14ac:dyDescent="0.35">
      <c r="C18" s="2" t="s">
        <v>27</v>
      </c>
      <c r="E18" s="17">
        <f>IFERROR(D15*100/(D15+E15),0)</f>
        <v>81.884057971014499</v>
      </c>
      <c r="F18" s="3" t="s">
        <v>26</v>
      </c>
    </row>
    <row r="28" spans="3:6" ht="98" customHeight="1" x14ac:dyDescent="0.35"/>
    <row r="29" spans="3:6" ht="101" customHeight="1" x14ac:dyDescent="0.35"/>
    <row r="34" spans="1:1" ht="107" customHeight="1" x14ac:dyDescent="0.35"/>
    <row r="42" spans="1:1" x14ac:dyDescent="0.35">
      <c r="A42" t="s">
        <v>130</v>
      </c>
    </row>
    <row r="43" spans="1:1" x14ac:dyDescent="0.35">
      <c r="A43" t="s">
        <v>131</v>
      </c>
    </row>
    <row r="44" spans="1:1" x14ac:dyDescent="0.35">
      <c r="A44" t="s">
        <v>132</v>
      </c>
    </row>
    <row r="45" spans="1:1" x14ac:dyDescent="0.35">
      <c r="A45" t="s">
        <v>133</v>
      </c>
    </row>
    <row r="46" spans="1:1" x14ac:dyDescent="0.35">
      <c r="A46" t="s">
        <v>134</v>
      </c>
    </row>
    <row r="47" spans="1:1" x14ac:dyDescent="0.35">
      <c r="A47" t="s">
        <v>135</v>
      </c>
    </row>
    <row r="48" spans="1:1" x14ac:dyDescent="0.35">
      <c r="A48" t="s">
        <v>136</v>
      </c>
    </row>
    <row r="49" spans="1:1" x14ac:dyDescent="0.35">
      <c r="A49" t="s">
        <v>137</v>
      </c>
    </row>
    <row r="50" spans="1:1" x14ac:dyDescent="0.35">
      <c r="A50" t="s">
        <v>138</v>
      </c>
    </row>
    <row r="51" spans="1:1" x14ac:dyDescent="0.35">
      <c r="A51" t="s">
        <v>139</v>
      </c>
    </row>
    <row r="52" spans="1:1" x14ac:dyDescent="0.35">
      <c r="A52" t="s">
        <v>123</v>
      </c>
    </row>
    <row r="53" spans="1:1" x14ac:dyDescent="0.35">
      <c r="A53" t="s">
        <v>140</v>
      </c>
    </row>
    <row r="54" spans="1:1" x14ac:dyDescent="0.35">
      <c r="A54" t="s">
        <v>184</v>
      </c>
    </row>
    <row r="55" spans="1:1" x14ac:dyDescent="0.35">
      <c r="A55" t="s">
        <v>185</v>
      </c>
    </row>
    <row r="56" spans="1:1" ht="33.5" customHeight="1" x14ac:dyDescent="0.35">
      <c r="A56" t="s">
        <v>186</v>
      </c>
    </row>
    <row r="57" spans="1:1" x14ac:dyDescent="0.35">
      <c r="A57" t="s">
        <v>187</v>
      </c>
    </row>
    <row r="58" spans="1:1" x14ac:dyDescent="0.35">
      <c r="A58" t="s">
        <v>188</v>
      </c>
    </row>
    <row r="60" spans="1:1" x14ac:dyDescent="0.35">
      <c r="A60" t="s">
        <v>189</v>
      </c>
    </row>
    <row r="61" spans="1:1" x14ac:dyDescent="0.35">
      <c r="A61" t="s">
        <v>190</v>
      </c>
    </row>
    <row r="62" spans="1:1" ht="60.5" customHeight="1" x14ac:dyDescent="0.35">
      <c r="A62" t="s">
        <v>191</v>
      </c>
    </row>
    <row r="63" spans="1:1" ht="43.5" customHeight="1" x14ac:dyDescent="0.35">
      <c r="A63" t="s">
        <v>192</v>
      </c>
    </row>
    <row r="64" spans="1:1" x14ac:dyDescent="0.35">
      <c r="A64" t="s">
        <v>193</v>
      </c>
    </row>
    <row r="65" spans="1:1" x14ac:dyDescent="0.35">
      <c r="A65" t="s">
        <v>194</v>
      </c>
    </row>
    <row r="66" spans="1:1" x14ac:dyDescent="0.35">
      <c r="A66" t="s">
        <v>195</v>
      </c>
    </row>
  </sheetData>
  <mergeCells count="11">
    <mergeCell ref="C5:D5"/>
    <mergeCell ref="E5:F5"/>
    <mergeCell ref="G5:H5"/>
    <mergeCell ref="C6:H6"/>
    <mergeCell ref="B1:H1"/>
    <mergeCell ref="C3:D3"/>
    <mergeCell ref="E3:F3"/>
    <mergeCell ref="G3:H3"/>
    <mergeCell ref="C4:D4"/>
    <mergeCell ref="E4:F4"/>
    <mergeCell ref="G4:H4"/>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66"/>
  <sheetViews>
    <sheetView showGridLines="0" zoomScale="24" zoomScaleNormal="24" workbookViewId="0">
      <selection activeCell="G53" sqref="G53"/>
    </sheetView>
  </sheetViews>
  <sheetFormatPr defaultColWidth="8.6328125" defaultRowHeight="14.5" x14ac:dyDescent="0.35"/>
  <cols>
    <col min="1" max="1" width="12.26953125" customWidth="1"/>
    <col min="2" max="2" width="28" customWidth="1"/>
    <col min="3" max="3" width="24" customWidth="1"/>
    <col min="4" max="4" width="34" customWidth="1"/>
    <col min="5" max="5" width="26" customWidth="1"/>
    <col min="6" max="6" width="34" customWidth="1"/>
    <col min="7" max="7" width="10" customWidth="1"/>
    <col min="8" max="8" width="12" customWidth="1"/>
    <col min="9" max="9" width="14" customWidth="1"/>
    <col min="10" max="10" width="20" customWidth="1"/>
  </cols>
  <sheetData>
    <row r="1" spans="1:10" ht="15" customHeight="1" x14ac:dyDescent="0.35">
      <c r="A1" s="22" t="s">
        <v>28</v>
      </c>
      <c r="B1" s="42" t="s">
        <v>29</v>
      </c>
      <c r="C1" s="42"/>
      <c r="D1" s="42"/>
      <c r="E1" s="42"/>
    </row>
    <row r="2" spans="1:10" ht="30" customHeight="1" x14ac:dyDescent="0.35">
      <c r="A2" s="23" t="s">
        <v>68</v>
      </c>
      <c r="B2" s="42" t="s">
        <v>31</v>
      </c>
      <c r="C2" s="42"/>
      <c r="D2" s="42"/>
      <c r="E2" s="42"/>
    </row>
    <row r="3" spans="1:10" x14ac:dyDescent="0.35">
      <c r="A3" s="11" t="s">
        <v>32</v>
      </c>
      <c r="B3" s="37" t="str">
        <f>Cover!$G$4</f>
        <v>Dương Thị Ngọc Ánh</v>
      </c>
      <c r="C3" s="37"/>
      <c r="D3" s="37"/>
      <c r="E3" s="37"/>
    </row>
    <row r="4" spans="1:10" x14ac:dyDescent="0.35">
      <c r="A4" s="22" t="s">
        <v>19</v>
      </c>
      <c r="B4" s="22" t="s">
        <v>20</v>
      </c>
      <c r="C4" s="22" t="s">
        <v>21</v>
      </c>
      <c r="D4" s="22" t="s">
        <v>22</v>
      </c>
      <c r="E4" s="22" t="s">
        <v>33</v>
      </c>
    </row>
    <row r="5" spans="1:10" x14ac:dyDescent="0.35">
      <c r="A5" s="16">
        <f>COUNTIF(G:G,"Pass")</f>
        <v>44</v>
      </c>
      <c r="B5" s="16">
        <f>COUNTIF(G:G,"Fail")</f>
        <v>10</v>
      </c>
      <c r="C5" s="16">
        <f>COUNTIF(G:G,"Untested")</f>
        <v>0</v>
      </c>
      <c r="D5" s="16">
        <f>COUNTIF(G:G,"N/A")</f>
        <v>0</v>
      </c>
      <c r="E5" s="16">
        <f>SUM(A5:D5)</f>
        <v>54</v>
      </c>
    </row>
    <row r="6" spans="1:10" x14ac:dyDescent="0.35">
      <c r="A6" s="16" t="s">
        <v>26</v>
      </c>
      <c r="B6" s="16" t="s">
        <v>26</v>
      </c>
      <c r="C6" s="16" t="s">
        <v>26</v>
      </c>
      <c r="D6" s="16" t="s">
        <v>26</v>
      </c>
      <c r="E6" s="10"/>
    </row>
    <row r="7" spans="1:10" x14ac:dyDescent="0.35">
      <c r="A7" s="24">
        <f>IFERROR(A5/$E$5,0)</f>
        <v>0.81481481481481477</v>
      </c>
      <c r="B7" s="24">
        <f>IFERROR(B5/$E$5,0)</f>
        <v>0.18518518518518517</v>
      </c>
      <c r="C7" s="24">
        <f>IFERROR(C5/$E$5,0)</f>
        <v>0</v>
      </c>
      <c r="D7" s="24">
        <f>IFERROR(D5/$E$5,0)</f>
        <v>0</v>
      </c>
      <c r="E7" s="24">
        <f>IFERROR(E5/$E$5,0)</f>
        <v>1</v>
      </c>
    </row>
    <row r="8" spans="1:10" ht="15" customHeight="1" x14ac:dyDescent="0.35">
      <c r="A8" s="29" t="s">
        <v>34</v>
      </c>
      <c r="B8" s="21" t="s">
        <v>35</v>
      </c>
      <c r="C8" s="21" t="s">
        <v>36</v>
      </c>
      <c r="D8" s="29" t="s">
        <v>37</v>
      </c>
      <c r="E8" s="21" t="s">
        <v>38</v>
      </c>
      <c r="F8" s="28" t="s">
        <v>39</v>
      </c>
      <c r="G8" s="30" t="s">
        <v>40</v>
      </c>
      <c r="H8" s="4" t="s">
        <v>41</v>
      </c>
      <c r="I8" s="4" t="s">
        <v>32</v>
      </c>
      <c r="J8" s="4" t="s">
        <v>15</v>
      </c>
    </row>
    <row r="9" spans="1:10" x14ac:dyDescent="0.35">
      <c r="A9" s="7"/>
      <c r="B9" s="7"/>
      <c r="C9" s="7"/>
      <c r="D9" s="7"/>
      <c r="E9" s="7"/>
      <c r="F9" s="7"/>
      <c r="G9" s="4"/>
      <c r="H9" s="7"/>
      <c r="I9" s="7"/>
      <c r="J9" s="7"/>
    </row>
    <row r="10" spans="1:10" ht="15" customHeight="1" x14ac:dyDescent="0.35">
      <c r="A10" s="8"/>
      <c r="B10" s="43" t="s">
        <v>402</v>
      </c>
      <c r="C10" s="41"/>
      <c r="D10" s="8"/>
      <c r="E10" s="8"/>
      <c r="F10" s="8"/>
      <c r="G10" s="8"/>
      <c r="H10" s="8"/>
      <c r="I10" s="8"/>
      <c r="J10" s="8"/>
    </row>
    <row r="11" spans="1:10" ht="54" customHeight="1" x14ac:dyDescent="0.35">
      <c r="A11" s="6" t="s">
        <v>43</v>
      </c>
      <c r="B11" s="5" t="s">
        <v>370</v>
      </c>
      <c r="C11" s="26"/>
      <c r="D11" s="26" t="s">
        <v>361</v>
      </c>
      <c r="E11" s="5" t="s">
        <v>75</v>
      </c>
      <c r="F11" s="26" t="s">
        <v>388</v>
      </c>
      <c r="G11" s="25" t="s">
        <v>19</v>
      </c>
      <c r="H11" s="5"/>
      <c r="I11" s="5" t="str">
        <f>Cover!$G$4</f>
        <v>Dương Thị Ngọc Ánh</v>
      </c>
      <c r="J11" s="5"/>
    </row>
    <row r="12" spans="1:10" ht="50" x14ac:dyDescent="0.35">
      <c r="A12" s="6" t="s">
        <v>44</v>
      </c>
      <c r="B12" s="5" t="s">
        <v>371</v>
      </c>
      <c r="C12" s="5"/>
      <c r="D12" s="26" t="s">
        <v>362</v>
      </c>
      <c r="E12" s="5" t="s">
        <v>75</v>
      </c>
      <c r="F12" s="26" t="s">
        <v>389</v>
      </c>
      <c r="G12" s="9" t="s">
        <v>19</v>
      </c>
      <c r="H12" s="5"/>
      <c r="I12" s="5" t="str">
        <f>Cover!$G$4</f>
        <v>Dương Thị Ngọc Ánh</v>
      </c>
      <c r="J12" s="5"/>
    </row>
    <row r="13" spans="1:10" ht="55" customHeight="1" x14ac:dyDescent="0.35">
      <c r="A13" s="6" t="s">
        <v>45</v>
      </c>
      <c r="B13" s="5" t="s">
        <v>372</v>
      </c>
      <c r="C13" s="5"/>
      <c r="D13" s="26" t="s">
        <v>360</v>
      </c>
      <c r="E13" s="5" t="s">
        <v>75</v>
      </c>
      <c r="F13" s="26" t="s">
        <v>390</v>
      </c>
      <c r="G13" s="25" t="s">
        <v>19</v>
      </c>
      <c r="H13" s="5"/>
      <c r="I13" s="5" t="str">
        <f>Cover!$G$4</f>
        <v>Dương Thị Ngọc Ánh</v>
      </c>
      <c r="J13" s="5"/>
    </row>
    <row r="14" spans="1:10" ht="74" customHeight="1" x14ac:dyDescent="0.35">
      <c r="A14" s="6" t="s">
        <v>46</v>
      </c>
      <c r="B14" s="5" t="s">
        <v>373</v>
      </c>
      <c r="C14" s="5"/>
      <c r="D14" s="26" t="s">
        <v>364</v>
      </c>
      <c r="E14" s="5" t="s">
        <v>75</v>
      </c>
      <c r="F14" s="26" t="s">
        <v>391</v>
      </c>
      <c r="G14" s="25" t="s">
        <v>19</v>
      </c>
      <c r="H14" s="5"/>
      <c r="I14" s="5" t="str">
        <f>Cover!$G$4</f>
        <v>Dương Thị Ngọc Ánh</v>
      </c>
      <c r="J14" s="5"/>
    </row>
    <row r="15" spans="1:10" ht="32" customHeight="1" x14ac:dyDescent="0.35">
      <c r="A15" s="6" t="s">
        <v>47</v>
      </c>
      <c r="B15" s="5" t="s">
        <v>374</v>
      </c>
      <c r="C15" s="5"/>
      <c r="D15" s="26" t="s">
        <v>383</v>
      </c>
      <c r="E15" s="5" t="s">
        <v>75</v>
      </c>
      <c r="F15" s="26" t="s">
        <v>392</v>
      </c>
      <c r="G15" s="25" t="s">
        <v>19</v>
      </c>
      <c r="H15" s="5"/>
      <c r="I15" s="5" t="str">
        <f>Cover!$G$4</f>
        <v>Dương Thị Ngọc Ánh</v>
      </c>
      <c r="J15" s="5"/>
    </row>
    <row r="16" spans="1:10" ht="44" customHeight="1" x14ac:dyDescent="0.35">
      <c r="A16" s="6" t="s">
        <v>48</v>
      </c>
      <c r="B16" s="5" t="s">
        <v>375</v>
      </c>
      <c r="C16" s="5"/>
      <c r="D16" s="26" t="s">
        <v>384</v>
      </c>
      <c r="E16" s="5" t="s">
        <v>75</v>
      </c>
      <c r="F16" s="26" t="s">
        <v>393</v>
      </c>
      <c r="G16" s="9" t="s">
        <v>19</v>
      </c>
      <c r="H16" s="5"/>
      <c r="I16" s="5" t="str">
        <f>Cover!$G$4</f>
        <v>Dương Thị Ngọc Ánh</v>
      </c>
      <c r="J16" s="5"/>
    </row>
    <row r="17" spans="1:10" ht="65.5" customHeight="1" x14ac:dyDescent="0.35">
      <c r="A17" s="6" t="s">
        <v>49</v>
      </c>
      <c r="B17" s="5" t="s">
        <v>376</v>
      </c>
      <c r="C17" s="5"/>
      <c r="D17" s="26" t="s">
        <v>361</v>
      </c>
      <c r="E17" s="5" t="s">
        <v>75</v>
      </c>
      <c r="F17" s="26" t="s">
        <v>394</v>
      </c>
      <c r="G17" s="25" t="s">
        <v>19</v>
      </c>
      <c r="H17" s="5"/>
      <c r="I17" s="5" t="str">
        <f>Cover!$G$4</f>
        <v>Dương Thị Ngọc Ánh</v>
      </c>
      <c r="J17" s="5"/>
    </row>
    <row r="18" spans="1:10" ht="57" customHeight="1" x14ac:dyDescent="0.35">
      <c r="A18" s="6" t="s">
        <v>50</v>
      </c>
      <c r="B18" s="5" t="s">
        <v>377</v>
      </c>
      <c r="C18" s="5"/>
      <c r="D18" s="26" t="s">
        <v>361</v>
      </c>
      <c r="E18" s="5" t="s">
        <v>75</v>
      </c>
      <c r="F18" s="26" t="s">
        <v>395</v>
      </c>
      <c r="G18" s="25" t="s">
        <v>19</v>
      </c>
      <c r="H18" s="5"/>
      <c r="I18" s="5" t="str">
        <f>Cover!$G$4</f>
        <v>Dương Thị Ngọc Ánh</v>
      </c>
      <c r="J18" s="5"/>
    </row>
    <row r="19" spans="1:10" ht="61" customHeight="1" x14ac:dyDescent="0.35">
      <c r="A19" s="6" t="s">
        <v>52</v>
      </c>
      <c r="B19" s="5" t="s">
        <v>378</v>
      </c>
      <c r="C19" s="5"/>
      <c r="D19" s="26" t="s">
        <v>361</v>
      </c>
      <c r="E19" s="5" t="s">
        <v>75</v>
      </c>
      <c r="F19" s="26" t="s">
        <v>396</v>
      </c>
      <c r="G19" s="25" t="s">
        <v>19</v>
      </c>
      <c r="H19" s="5"/>
      <c r="I19" s="5" t="str">
        <f>Cover!$G$4</f>
        <v>Dương Thị Ngọc Ánh</v>
      </c>
      <c r="J19" s="5"/>
    </row>
    <row r="20" spans="1:10" ht="78" customHeight="1" x14ac:dyDescent="0.35">
      <c r="A20" s="6" t="s">
        <v>53</v>
      </c>
      <c r="B20" s="5" t="s">
        <v>379</v>
      </c>
      <c r="C20" s="5"/>
      <c r="D20" s="26" t="s">
        <v>385</v>
      </c>
      <c r="E20" s="5" t="s">
        <v>75</v>
      </c>
      <c r="F20" s="26" t="s">
        <v>397</v>
      </c>
      <c r="G20" s="25" t="s">
        <v>19</v>
      </c>
      <c r="H20" s="5"/>
      <c r="I20" s="5" t="str">
        <f>Cover!$G$4</f>
        <v>Dương Thị Ngọc Ánh</v>
      </c>
      <c r="J20" s="5"/>
    </row>
    <row r="21" spans="1:10" ht="36.5" customHeight="1" x14ac:dyDescent="0.35">
      <c r="A21" s="6" t="s">
        <v>54</v>
      </c>
      <c r="B21" s="5" t="s">
        <v>380</v>
      </c>
      <c r="C21" s="5"/>
      <c r="D21" s="26" t="s">
        <v>386</v>
      </c>
      <c r="E21" s="5" t="s">
        <v>75</v>
      </c>
      <c r="F21" s="26" t="s">
        <v>398</v>
      </c>
      <c r="G21" s="25" t="s">
        <v>19</v>
      </c>
      <c r="H21" s="5"/>
      <c r="I21" s="5" t="str">
        <f>Cover!$G$4</f>
        <v>Dương Thị Ngọc Ánh</v>
      </c>
      <c r="J21" s="5"/>
    </row>
    <row r="22" spans="1:10" ht="50" x14ac:dyDescent="0.35">
      <c r="A22" s="6" t="s">
        <v>55</v>
      </c>
      <c r="B22" s="5" t="s">
        <v>381</v>
      </c>
      <c r="C22" s="5"/>
      <c r="D22" s="26" t="s">
        <v>387</v>
      </c>
      <c r="E22" s="5" t="s">
        <v>75</v>
      </c>
      <c r="F22" s="26" t="s">
        <v>399</v>
      </c>
      <c r="G22" s="9" t="s">
        <v>19</v>
      </c>
      <c r="H22" s="5"/>
      <c r="I22" s="5" t="str">
        <f>Cover!$G$4</f>
        <v>Dương Thị Ngọc Ánh</v>
      </c>
      <c r="J22" s="5"/>
    </row>
    <row r="23" spans="1:10" ht="73" customHeight="1" x14ac:dyDescent="0.35">
      <c r="A23" s="6" t="s">
        <v>56</v>
      </c>
      <c r="B23" s="5" t="s">
        <v>382</v>
      </c>
      <c r="C23" s="5"/>
      <c r="D23" s="26" t="s">
        <v>387</v>
      </c>
      <c r="E23" s="5" t="s">
        <v>75</v>
      </c>
      <c r="F23" s="26" t="s">
        <v>400</v>
      </c>
      <c r="G23" s="25" t="s">
        <v>19</v>
      </c>
      <c r="H23" s="5"/>
      <c r="I23" s="5" t="str">
        <f>Cover!$G$4</f>
        <v>Dương Thị Ngọc Ánh</v>
      </c>
      <c r="J23" s="5"/>
    </row>
    <row r="24" spans="1:10" ht="137.5" x14ac:dyDescent="0.35">
      <c r="A24" s="27" t="s">
        <v>57</v>
      </c>
      <c r="B24" s="5" t="s">
        <v>69</v>
      </c>
      <c r="C24" s="5" t="s">
        <v>70</v>
      </c>
      <c r="D24" s="26" t="s">
        <v>401</v>
      </c>
      <c r="E24" s="26" t="s">
        <v>336</v>
      </c>
      <c r="F24" s="26" t="s">
        <v>337</v>
      </c>
      <c r="G24" s="9" t="s">
        <v>20</v>
      </c>
      <c r="H24" s="5"/>
      <c r="I24" s="5" t="str">
        <f>Cover!$G$4</f>
        <v>Dương Thị Ngọc Ánh</v>
      </c>
      <c r="J24" s="26" t="s">
        <v>426</v>
      </c>
    </row>
    <row r="25" spans="1:10" ht="125" x14ac:dyDescent="0.35">
      <c r="A25" s="27" t="s">
        <v>58</v>
      </c>
      <c r="B25" s="5" t="s">
        <v>71</v>
      </c>
      <c r="C25" s="5"/>
      <c r="D25" s="5" t="s">
        <v>338</v>
      </c>
      <c r="E25" s="26" t="s">
        <v>339</v>
      </c>
      <c r="F25" s="26" t="s">
        <v>340</v>
      </c>
      <c r="G25" s="9" t="s">
        <v>20</v>
      </c>
      <c r="H25" s="5"/>
      <c r="I25" s="5" t="str">
        <f>Cover!$G$4</f>
        <v>Dương Thị Ngọc Ánh</v>
      </c>
      <c r="J25" s="5" t="s">
        <v>341</v>
      </c>
    </row>
    <row r="26" spans="1:10" ht="62.5" x14ac:dyDescent="0.35">
      <c r="A26" s="27" t="s">
        <v>59</v>
      </c>
      <c r="B26" s="5" t="s">
        <v>72</v>
      </c>
      <c r="C26" s="5"/>
      <c r="D26" s="5" t="s">
        <v>73</v>
      </c>
      <c r="E26" s="26" t="s">
        <v>75</v>
      </c>
      <c r="F26" s="26" t="s">
        <v>74</v>
      </c>
      <c r="G26" s="9" t="s">
        <v>19</v>
      </c>
      <c r="H26" s="5"/>
      <c r="I26" s="5" t="str">
        <f>Cover!$G$4</f>
        <v>Dương Thị Ngọc Ánh</v>
      </c>
      <c r="J26" s="5"/>
    </row>
    <row r="27" spans="1:10" ht="62.5" x14ac:dyDescent="0.35">
      <c r="A27" s="27" t="s">
        <v>99</v>
      </c>
      <c r="B27" s="5" t="s">
        <v>76</v>
      </c>
      <c r="C27" s="5"/>
      <c r="D27" s="5" t="s">
        <v>78</v>
      </c>
      <c r="E27" s="26" t="s">
        <v>77</v>
      </c>
      <c r="F27" s="26" t="s">
        <v>79</v>
      </c>
      <c r="G27" s="9" t="s">
        <v>19</v>
      </c>
      <c r="H27" s="5"/>
      <c r="I27" s="5" t="str">
        <f>Cover!$G$4</f>
        <v>Dương Thị Ngọc Ánh</v>
      </c>
      <c r="J27" s="5"/>
    </row>
    <row r="28" spans="1:10" ht="98" customHeight="1" x14ac:dyDescent="0.35">
      <c r="A28" s="27" t="s">
        <v>101</v>
      </c>
      <c r="B28" s="5" t="s">
        <v>80</v>
      </c>
      <c r="C28" s="5"/>
      <c r="D28" s="5" t="s">
        <v>85</v>
      </c>
      <c r="E28" s="26" t="s">
        <v>414</v>
      </c>
      <c r="F28" s="26" t="s">
        <v>403</v>
      </c>
      <c r="G28" s="9" t="s">
        <v>19</v>
      </c>
      <c r="H28" s="5"/>
      <c r="I28" s="5" t="str">
        <f>Cover!$G$4</f>
        <v>Dương Thị Ngọc Ánh</v>
      </c>
      <c r="J28" s="5"/>
    </row>
    <row r="29" spans="1:10" ht="101" customHeight="1" x14ac:dyDescent="0.35">
      <c r="A29" s="27" t="s">
        <v>102</v>
      </c>
      <c r="B29" s="5" t="s">
        <v>81</v>
      </c>
      <c r="C29" s="5"/>
      <c r="D29" s="5" t="s">
        <v>86</v>
      </c>
      <c r="E29" s="26" t="s">
        <v>415</v>
      </c>
      <c r="F29" s="26" t="s">
        <v>406</v>
      </c>
      <c r="G29" s="9" t="s">
        <v>20</v>
      </c>
      <c r="H29" s="5"/>
      <c r="I29" s="5" t="str">
        <f>Cover!$G$4</f>
        <v>Dương Thị Ngọc Ánh</v>
      </c>
      <c r="J29" s="26" t="s">
        <v>404</v>
      </c>
    </row>
    <row r="30" spans="1:10" ht="100" x14ac:dyDescent="0.35">
      <c r="A30" s="27" t="s">
        <v>107</v>
      </c>
      <c r="B30" s="5" t="s">
        <v>82</v>
      </c>
      <c r="C30" s="5"/>
      <c r="D30" s="5" t="s">
        <v>87</v>
      </c>
      <c r="E30" s="26" t="s">
        <v>407</v>
      </c>
      <c r="F30" s="26" t="s">
        <v>405</v>
      </c>
      <c r="G30" s="9" t="s">
        <v>19</v>
      </c>
      <c r="H30" s="5"/>
      <c r="I30" s="5" t="str">
        <f>Cover!$G$4</f>
        <v>Dương Thị Ngọc Ánh</v>
      </c>
      <c r="J30" s="5"/>
    </row>
    <row r="31" spans="1:10" ht="87.5" x14ac:dyDescent="0.35">
      <c r="A31" s="27" t="s">
        <v>110</v>
      </c>
      <c r="B31" s="5" t="s">
        <v>83</v>
      </c>
      <c r="C31" s="5"/>
      <c r="D31" s="5" t="s">
        <v>88</v>
      </c>
      <c r="E31" s="26" t="s">
        <v>408</v>
      </c>
      <c r="F31" s="26" t="s">
        <v>84</v>
      </c>
      <c r="G31" s="9" t="s">
        <v>19</v>
      </c>
      <c r="H31" s="5"/>
      <c r="I31" s="5" t="str">
        <f>Cover!$G$4</f>
        <v>Dương Thị Ngọc Ánh</v>
      </c>
      <c r="J31" s="5"/>
    </row>
    <row r="32" spans="1:10" ht="100" x14ac:dyDescent="0.35">
      <c r="A32" s="27" t="s">
        <v>115</v>
      </c>
      <c r="B32" s="5" t="s">
        <v>89</v>
      </c>
      <c r="C32" s="5"/>
      <c r="D32" s="5" t="s">
        <v>90</v>
      </c>
      <c r="E32" s="26" t="s">
        <v>409</v>
      </c>
      <c r="F32" s="26" t="s">
        <v>410</v>
      </c>
      <c r="G32" s="9" t="s">
        <v>19</v>
      </c>
      <c r="H32" s="5"/>
      <c r="I32" s="5" t="str">
        <f>Cover!$G$4</f>
        <v>Dương Thị Ngọc Ánh</v>
      </c>
      <c r="J32" s="5"/>
    </row>
    <row r="33" spans="1:10" ht="100" x14ac:dyDescent="0.35">
      <c r="A33" s="27" t="s">
        <v>118</v>
      </c>
      <c r="B33" s="5" t="s">
        <v>91</v>
      </c>
      <c r="C33" s="5"/>
      <c r="D33" s="5" t="s">
        <v>90</v>
      </c>
      <c r="E33" s="26" t="s">
        <v>411</v>
      </c>
      <c r="F33" s="26" t="s">
        <v>410</v>
      </c>
      <c r="G33" s="9" t="s">
        <v>19</v>
      </c>
      <c r="H33" s="5"/>
      <c r="I33" s="5" t="str">
        <f>Cover!$G$4</f>
        <v>Dương Thị Ngọc Ánh</v>
      </c>
      <c r="J33" s="5"/>
    </row>
    <row r="34" spans="1:10" ht="107" customHeight="1" x14ac:dyDescent="0.35">
      <c r="A34" s="27" t="s">
        <v>122</v>
      </c>
      <c r="B34" s="5" t="s">
        <v>92</v>
      </c>
      <c r="C34" s="5"/>
      <c r="D34" s="5" t="s">
        <v>90</v>
      </c>
      <c r="E34" s="26" t="s">
        <v>412</v>
      </c>
      <c r="F34" s="26" t="s">
        <v>410</v>
      </c>
      <c r="G34" s="9" t="s">
        <v>19</v>
      </c>
      <c r="H34" s="5"/>
      <c r="I34" s="5" t="str">
        <f>Cover!$G$4</f>
        <v>Dương Thị Ngọc Ánh</v>
      </c>
      <c r="J34" s="5"/>
    </row>
    <row r="35" spans="1:10" ht="50" x14ac:dyDescent="0.35">
      <c r="A35" s="27" t="s">
        <v>124</v>
      </c>
      <c r="B35" s="31" t="s">
        <v>93</v>
      </c>
      <c r="C35" s="5"/>
      <c r="D35" s="5" t="s">
        <v>90</v>
      </c>
      <c r="E35" s="26" t="s">
        <v>95</v>
      </c>
      <c r="F35" s="26" t="s">
        <v>94</v>
      </c>
      <c r="G35" s="9" t="s">
        <v>19</v>
      </c>
      <c r="H35" s="5"/>
      <c r="I35" s="5" t="str">
        <f>Cover!$G$4</f>
        <v>Dương Thị Ngọc Ánh</v>
      </c>
      <c r="J35" s="5"/>
    </row>
    <row r="36" spans="1:10" ht="50" x14ac:dyDescent="0.35">
      <c r="A36" s="27" t="s">
        <v>125</v>
      </c>
      <c r="B36" s="5" t="s">
        <v>96</v>
      </c>
      <c r="C36" s="5"/>
      <c r="D36" s="5" t="s">
        <v>90</v>
      </c>
      <c r="E36" s="26" t="s">
        <v>97</v>
      </c>
      <c r="F36" s="26" t="s">
        <v>98</v>
      </c>
      <c r="G36" s="9" t="s">
        <v>19</v>
      </c>
      <c r="H36" s="5"/>
      <c r="I36" s="5" t="str">
        <f>Cover!$G$4</f>
        <v>Dương Thị Ngọc Ánh</v>
      </c>
      <c r="J36" s="5"/>
    </row>
    <row r="37" spans="1:10" ht="62.5" x14ac:dyDescent="0.35">
      <c r="A37" s="27" t="s">
        <v>126</v>
      </c>
      <c r="B37" s="5" t="s">
        <v>96</v>
      </c>
      <c r="C37" s="26" t="s">
        <v>413</v>
      </c>
      <c r="D37" s="5" t="s">
        <v>100</v>
      </c>
      <c r="E37" s="26" t="s">
        <v>416</v>
      </c>
      <c r="F37" s="26" t="s">
        <v>418</v>
      </c>
      <c r="G37" s="9" t="s">
        <v>20</v>
      </c>
      <c r="H37" s="5"/>
      <c r="I37" s="5" t="str">
        <f>Cover!$G$4</f>
        <v>Dương Thị Ngọc Ánh</v>
      </c>
      <c r="J37" s="26" t="s">
        <v>417</v>
      </c>
    </row>
    <row r="38" spans="1:10" ht="100" x14ac:dyDescent="0.35">
      <c r="A38" s="27" t="s">
        <v>127</v>
      </c>
      <c r="B38" s="5" t="s">
        <v>103</v>
      </c>
      <c r="C38" s="5"/>
      <c r="D38" s="26" t="s">
        <v>419</v>
      </c>
      <c r="E38" s="26" t="s">
        <v>420</v>
      </c>
      <c r="F38" s="26" t="s">
        <v>105</v>
      </c>
      <c r="G38" s="9" t="s">
        <v>19</v>
      </c>
      <c r="H38" s="5"/>
      <c r="I38" s="5" t="str">
        <f>Cover!$G$4</f>
        <v>Dương Thị Ngọc Ánh</v>
      </c>
      <c r="J38" s="5"/>
    </row>
    <row r="39" spans="1:10" ht="100" x14ac:dyDescent="0.35">
      <c r="A39" s="27" t="s">
        <v>128</v>
      </c>
      <c r="B39" s="5" t="s">
        <v>106</v>
      </c>
      <c r="C39" s="5"/>
      <c r="D39" s="5" t="s">
        <v>104</v>
      </c>
      <c r="E39" s="26" t="s">
        <v>421</v>
      </c>
      <c r="F39" s="26" t="s">
        <v>105</v>
      </c>
      <c r="G39" s="9" t="s">
        <v>19</v>
      </c>
      <c r="H39" s="5"/>
      <c r="I39" s="5" t="str">
        <f>Cover!$G$4</f>
        <v>Dương Thị Ngọc Ánh</v>
      </c>
      <c r="J39" s="5"/>
    </row>
    <row r="40" spans="1:10" ht="100" x14ac:dyDescent="0.35">
      <c r="A40" s="27" t="s">
        <v>129</v>
      </c>
      <c r="B40" s="5" t="s">
        <v>108</v>
      </c>
      <c r="C40" s="5"/>
      <c r="D40" s="5" t="s">
        <v>104</v>
      </c>
      <c r="E40" s="26" t="s">
        <v>422</v>
      </c>
      <c r="F40" s="26" t="s">
        <v>109</v>
      </c>
      <c r="G40" s="9" t="s">
        <v>20</v>
      </c>
      <c r="H40" s="5"/>
      <c r="I40" s="5" t="str">
        <f>Cover!$G$4</f>
        <v>Dương Thị Ngọc Ánh</v>
      </c>
      <c r="J40" s="26" t="s">
        <v>423</v>
      </c>
    </row>
    <row r="41" spans="1:10" x14ac:dyDescent="0.35">
      <c r="A41" s="8"/>
      <c r="B41" s="39" t="s">
        <v>51</v>
      </c>
      <c r="C41" s="39"/>
      <c r="D41" s="8"/>
      <c r="E41" s="8"/>
      <c r="F41" s="8"/>
      <c r="G41" s="8"/>
      <c r="H41" s="8"/>
      <c r="I41" s="8"/>
      <c r="J41" s="8"/>
    </row>
    <row r="42" spans="1:10" ht="43" customHeight="1" x14ac:dyDescent="0.35">
      <c r="A42" s="27" t="s">
        <v>130</v>
      </c>
      <c r="B42" s="5" t="s">
        <v>111</v>
      </c>
      <c r="C42" s="5" t="s">
        <v>112</v>
      </c>
      <c r="D42" s="5" t="s">
        <v>113</v>
      </c>
      <c r="E42" s="5" t="s">
        <v>75</v>
      </c>
      <c r="F42" s="5" t="s">
        <v>114</v>
      </c>
      <c r="G42" s="9" t="s">
        <v>19</v>
      </c>
      <c r="H42" s="5"/>
      <c r="I42" s="5" t="str">
        <f>Cover!$G$4</f>
        <v>Dương Thị Ngọc Ánh</v>
      </c>
      <c r="J42" s="5"/>
    </row>
    <row r="43" spans="1:10" ht="87.5" x14ac:dyDescent="0.35">
      <c r="A43" s="27" t="s">
        <v>131</v>
      </c>
      <c r="B43" s="5" t="s">
        <v>116</v>
      </c>
      <c r="C43" s="26" t="s">
        <v>424</v>
      </c>
      <c r="D43" s="26" t="s">
        <v>425</v>
      </c>
      <c r="E43" s="5" t="s">
        <v>75</v>
      </c>
      <c r="F43" s="5" t="s">
        <v>117</v>
      </c>
      <c r="G43" s="9" t="s">
        <v>20</v>
      </c>
      <c r="H43" s="5"/>
      <c r="I43" s="5" t="str">
        <f>Cover!$G$4</f>
        <v>Dương Thị Ngọc Ánh</v>
      </c>
      <c r="J43" s="26" t="s">
        <v>427</v>
      </c>
    </row>
    <row r="44" spans="1:10" ht="62.5" x14ac:dyDescent="0.35">
      <c r="A44" s="27" t="s">
        <v>132</v>
      </c>
      <c r="B44" s="5" t="s">
        <v>119</v>
      </c>
      <c r="C44" s="5"/>
      <c r="D44" s="5" t="s">
        <v>120</v>
      </c>
      <c r="E44" s="5" t="s">
        <v>75</v>
      </c>
      <c r="F44" s="26" t="s">
        <v>121</v>
      </c>
      <c r="G44" s="9" t="s">
        <v>19</v>
      </c>
      <c r="H44" s="5"/>
      <c r="I44" s="5" t="str">
        <f>Cover!$G$4</f>
        <v>Dương Thị Ngọc Ánh</v>
      </c>
      <c r="J44" s="26"/>
    </row>
    <row r="45" spans="1:10" ht="75" x14ac:dyDescent="0.35">
      <c r="A45" s="27" t="s">
        <v>133</v>
      </c>
      <c r="B45" s="5" t="s">
        <v>141</v>
      </c>
      <c r="C45" s="26" t="s">
        <v>428</v>
      </c>
      <c r="D45" s="26" t="s">
        <v>429</v>
      </c>
      <c r="E45" s="26" t="s">
        <v>430</v>
      </c>
      <c r="F45" s="5" t="s">
        <v>142</v>
      </c>
      <c r="G45" s="9" t="s">
        <v>19</v>
      </c>
      <c r="H45" s="5"/>
      <c r="I45" s="5" t="str">
        <f>Cover!$G$4</f>
        <v>Dương Thị Ngọc Ánh</v>
      </c>
      <c r="J45" s="5"/>
    </row>
    <row r="46" spans="1:10" ht="75" x14ac:dyDescent="0.35">
      <c r="A46" s="27" t="s">
        <v>134</v>
      </c>
      <c r="B46" s="5" t="s">
        <v>143</v>
      </c>
      <c r="C46" s="26"/>
      <c r="D46" s="5" t="s">
        <v>144</v>
      </c>
      <c r="E46" s="5" t="s">
        <v>75</v>
      </c>
      <c r="F46" s="5" t="s">
        <v>145</v>
      </c>
      <c r="G46" s="9" t="s">
        <v>19</v>
      </c>
      <c r="H46" s="5"/>
      <c r="I46" s="5" t="str">
        <f>Cover!$G$4</f>
        <v>Dương Thị Ngọc Ánh</v>
      </c>
      <c r="J46" s="5"/>
    </row>
    <row r="47" spans="1:10" ht="50" x14ac:dyDescent="0.35">
      <c r="A47" s="27" t="s">
        <v>135</v>
      </c>
      <c r="B47" s="26" t="s">
        <v>431</v>
      </c>
      <c r="C47" s="26"/>
      <c r="D47" s="26" t="s">
        <v>146</v>
      </c>
      <c r="E47" s="5" t="s">
        <v>75</v>
      </c>
      <c r="F47" s="5" t="s">
        <v>147</v>
      </c>
      <c r="G47" s="9" t="s">
        <v>19</v>
      </c>
      <c r="H47" s="5"/>
      <c r="I47" s="5" t="str">
        <f>Cover!$G$4</f>
        <v>Dương Thị Ngọc Ánh</v>
      </c>
      <c r="J47" s="5"/>
    </row>
    <row r="48" spans="1:10" ht="43" customHeight="1" x14ac:dyDescent="0.35">
      <c r="A48" s="27" t="s">
        <v>136</v>
      </c>
      <c r="B48" s="5" t="s">
        <v>148</v>
      </c>
      <c r="C48" s="26"/>
      <c r="D48" s="5" t="s">
        <v>149</v>
      </c>
      <c r="E48" s="5" t="s">
        <v>75</v>
      </c>
      <c r="F48" s="5" t="s">
        <v>150</v>
      </c>
      <c r="G48" s="9" t="s">
        <v>19</v>
      </c>
      <c r="H48" s="5"/>
      <c r="I48" s="5" t="str">
        <f>Cover!$G$4</f>
        <v>Dương Thị Ngọc Ánh</v>
      </c>
      <c r="J48" s="5"/>
    </row>
    <row r="49" spans="1:10" ht="50" x14ac:dyDescent="0.35">
      <c r="A49" s="27" t="s">
        <v>137</v>
      </c>
      <c r="B49" s="5" t="s">
        <v>151</v>
      </c>
      <c r="C49" s="26"/>
      <c r="D49" s="5" t="s">
        <v>152</v>
      </c>
      <c r="E49" s="5" t="s">
        <v>75</v>
      </c>
      <c r="F49" s="5" t="s">
        <v>153</v>
      </c>
      <c r="G49" s="9" t="s">
        <v>19</v>
      </c>
      <c r="H49" s="5"/>
      <c r="I49" s="5" t="str">
        <f>Cover!$G$4</f>
        <v>Dương Thị Ngọc Ánh</v>
      </c>
      <c r="J49" s="26"/>
    </row>
    <row r="50" spans="1:10" ht="50" x14ac:dyDescent="0.35">
      <c r="A50" s="27" t="s">
        <v>138</v>
      </c>
      <c r="B50" s="5" t="s">
        <v>154</v>
      </c>
      <c r="C50" s="5"/>
      <c r="D50" s="26" t="s">
        <v>155</v>
      </c>
      <c r="E50" s="5" t="s">
        <v>75</v>
      </c>
      <c r="F50" s="5" t="s">
        <v>156</v>
      </c>
      <c r="G50" s="9" t="s">
        <v>19</v>
      </c>
      <c r="H50" s="5"/>
      <c r="I50" s="5" t="str">
        <f>Cover!$G$4</f>
        <v>Dương Thị Ngọc Ánh</v>
      </c>
      <c r="J50" s="5"/>
    </row>
    <row r="51" spans="1:10" ht="50" x14ac:dyDescent="0.35">
      <c r="A51" s="27" t="s">
        <v>139</v>
      </c>
      <c r="B51" s="5" t="s">
        <v>157</v>
      </c>
      <c r="C51" s="5"/>
      <c r="D51" s="5" t="s">
        <v>158</v>
      </c>
      <c r="E51" s="5" t="s">
        <v>75</v>
      </c>
      <c r="F51" s="5" t="s">
        <v>159</v>
      </c>
      <c r="G51" s="9" t="s">
        <v>20</v>
      </c>
      <c r="H51" s="5"/>
      <c r="I51" s="5" t="str">
        <f>Cover!$G$4</f>
        <v>Dương Thị Ngọc Ánh</v>
      </c>
      <c r="J51" s="26" t="s">
        <v>434</v>
      </c>
    </row>
    <row r="52" spans="1:10" ht="37.5" x14ac:dyDescent="0.35">
      <c r="A52" s="27" t="s">
        <v>123</v>
      </c>
      <c r="B52" s="5" t="s">
        <v>160</v>
      </c>
      <c r="C52" s="5"/>
      <c r="D52" s="5" t="s">
        <v>161</v>
      </c>
      <c r="E52" s="5" t="s">
        <v>75</v>
      </c>
      <c r="F52" s="5" t="s">
        <v>162</v>
      </c>
      <c r="G52" s="9" t="s">
        <v>19</v>
      </c>
      <c r="H52" s="5"/>
      <c r="I52" s="5" t="str">
        <f>Cover!$G$4</f>
        <v>Dương Thị Ngọc Ánh</v>
      </c>
      <c r="J52" s="5"/>
    </row>
    <row r="53" spans="1:10" ht="37.5" x14ac:dyDescent="0.35">
      <c r="A53" s="27" t="s">
        <v>140</v>
      </c>
      <c r="B53" s="5" t="s">
        <v>163</v>
      </c>
      <c r="C53" s="5"/>
      <c r="D53" s="26" t="s">
        <v>432</v>
      </c>
      <c r="E53" s="5" t="s">
        <v>75</v>
      </c>
      <c r="F53" s="5" t="s">
        <v>164</v>
      </c>
      <c r="G53" s="9" t="s">
        <v>20</v>
      </c>
      <c r="H53" s="5"/>
      <c r="I53" s="5" t="str">
        <f>Cover!$G$4</f>
        <v>Dương Thị Ngọc Ánh</v>
      </c>
      <c r="J53" s="26" t="s">
        <v>433</v>
      </c>
    </row>
    <row r="54" spans="1:10" ht="37.5" x14ac:dyDescent="0.35">
      <c r="A54" s="27" t="s">
        <v>184</v>
      </c>
      <c r="B54" s="5" t="s">
        <v>165</v>
      </c>
      <c r="C54" s="5"/>
      <c r="D54" s="5" t="s">
        <v>166</v>
      </c>
      <c r="E54" s="5" t="s">
        <v>75</v>
      </c>
      <c r="F54" s="5" t="s">
        <v>167</v>
      </c>
      <c r="G54" s="9" t="s">
        <v>19</v>
      </c>
      <c r="H54" s="5"/>
      <c r="I54" s="5" t="str">
        <f>Cover!$G$4</f>
        <v>Dương Thị Ngọc Ánh</v>
      </c>
      <c r="J54" s="5"/>
    </row>
    <row r="55" spans="1:10" ht="62.5" x14ac:dyDescent="0.35">
      <c r="A55" s="27" t="s">
        <v>185</v>
      </c>
      <c r="B55" s="5" t="s">
        <v>168</v>
      </c>
      <c r="C55" s="5"/>
      <c r="D55" s="5" t="s">
        <v>169</v>
      </c>
      <c r="E55" s="5" t="s">
        <v>75</v>
      </c>
      <c r="F55" s="5" t="s">
        <v>170</v>
      </c>
      <c r="G55" s="9" t="s">
        <v>20</v>
      </c>
      <c r="H55" s="5"/>
      <c r="I55" s="5" t="str">
        <f>Cover!$G$4</f>
        <v>Dương Thị Ngọc Ánh</v>
      </c>
      <c r="J55" s="26" t="s">
        <v>433</v>
      </c>
    </row>
    <row r="56" spans="1:10" ht="33.5" customHeight="1" x14ac:dyDescent="0.35">
      <c r="A56" s="27" t="s">
        <v>186</v>
      </c>
      <c r="B56" s="5" t="s">
        <v>171</v>
      </c>
      <c r="C56" s="5"/>
      <c r="D56" s="5" t="s">
        <v>172</v>
      </c>
      <c r="E56" s="5" t="s">
        <v>75</v>
      </c>
      <c r="F56" s="5" t="s">
        <v>173</v>
      </c>
      <c r="G56" s="9" t="s">
        <v>19</v>
      </c>
      <c r="H56" s="5"/>
      <c r="I56" s="5" t="str">
        <f>Cover!$G$4</f>
        <v>Dương Thị Ngọc Ánh</v>
      </c>
      <c r="J56" s="5"/>
    </row>
    <row r="57" spans="1:10" ht="50" x14ac:dyDescent="0.35">
      <c r="A57" s="27" t="s">
        <v>187</v>
      </c>
      <c r="B57" s="5" t="s">
        <v>174</v>
      </c>
      <c r="C57" s="5"/>
      <c r="D57" s="5" t="s">
        <v>175</v>
      </c>
      <c r="E57" s="5" t="s">
        <v>75</v>
      </c>
      <c r="F57" s="5" t="s">
        <v>180</v>
      </c>
      <c r="G57" s="9" t="s">
        <v>19</v>
      </c>
      <c r="H57" s="5"/>
      <c r="I57" s="5" t="str">
        <f>Cover!$G$4</f>
        <v>Dương Thị Ngọc Ánh</v>
      </c>
      <c r="J57" s="5"/>
    </row>
    <row r="58" spans="1:10" ht="50" x14ac:dyDescent="0.35">
      <c r="A58" s="27" t="s">
        <v>188</v>
      </c>
      <c r="B58" s="5" t="s">
        <v>176</v>
      </c>
      <c r="C58" s="5" t="s">
        <v>178</v>
      </c>
      <c r="D58" s="5" t="s">
        <v>177</v>
      </c>
      <c r="E58" s="5" t="s">
        <v>75</v>
      </c>
      <c r="F58" s="5" t="s">
        <v>179</v>
      </c>
      <c r="G58" s="9" t="s">
        <v>19</v>
      </c>
      <c r="H58" s="5"/>
      <c r="I58" s="5" t="str">
        <f>Cover!$G$4</f>
        <v>Dương Thị Ngọc Ánh</v>
      </c>
      <c r="J58" s="5"/>
    </row>
    <row r="59" spans="1:10" x14ac:dyDescent="0.35">
      <c r="A59" s="27"/>
      <c r="B59" s="40" t="s">
        <v>60</v>
      </c>
      <c r="C59" s="41"/>
      <c r="D59" s="8"/>
      <c r="E59" s="8"/>
      <c r="F59" s="8"/>
      <c r="G59" s="8"/>
      <c r="H59" s="8"/>
      <c r="I59" s="8"/>
      <c r="J59" s="8"/>
    </row>
    <row r="60" spans="1:10" ht="37.5" x14ac:dyDescent="0.35">
      <c r="A60" s="27" t="s">
        <v>189</v>
      </c>
      <c r="B60" s="5" t="s">
        <v>181</v>
      </c>
      <c r="C60" s="5" t="s">
        <v>112</v>
      </c>
      <c r="D60" s="5" t="s">
        <v>182</v>
      </c>
      <c r="E60" s="5" t="s">
        <v>75</v>
      </c>
      <c r="F60" s="5" t="s">
        <v>183</v>
      </c>
      <c r="G60" s="9" t="s">
        <v>19</v>
      </c>
      <c r="H60" s="5"/>
      <c r="I60" s="5" t="str">
        <f>Cover!$G$4</f>
        <v>Dương Thị Ngọc Ánh</v>
      </c>
      <c r="J60" s="5"/>
    </row>
    <row r="61" spans="1:10" ht="64.5" customHeight="1" x14ac:dyDescent="0.35">
      <c r="A61" s="27" t="s">
        <v>190</v>
      </c>
      <c r="B61" s="5" t="s">
        <v>197</v>
      </c>
      <c r="C61" s="5" t="s">
        <v>199</v>
      </c>
      <c r="D61" s="5" t="s">
        <v>198</v>
      </c>
      <c r="E61" s="5" t="s">
        <v>75</v>
      </c>
      <c r="F61" s="26" t="s">
        <v>435</v>
      </c>
      <c r="G61" s="9" t="s">
        <v>20</v>
      </c>
      <c r="H61" s="5"/>
      <c r="I61" s="5" t="str">
        <f>Cover!$G$4</f>
        <v>Dương Thị Ngọc Ánh</v>
      </c>
      <c r="J61" s="26" t="s">
        <v>436</v>
      </c>
    </row>
    <row r="62" spans="1:10" ht="60.5" customHeight="1" x14ac:dyDescent="0.35">
      <c r="A62" s="27" t="s">
        <v>191</v>
      </c>
      <c r="B62" s="26" t="s">
        <v>437</v>
      </c>
      <c r="C62" s="5" t="s">
        <v>199</v>
      </c>
      <c r="D62" s="26" t="s">
        <v>439</v>
      </c>
      <c r="E62" s="5" t="s">
        <v>75</v>
      </c>
      <c r="F62" s="26" t="s">
        <v>438</v>
      </c>
      <c r="G62" s="9" t="s">
        <v>19</v>
      </c>
      <c r="H62" s="5"/>
      <c r="I62" s="5" t="str">
        <f>Cover!$G$4</f>
        <v>Dương Thị Ngọc Ánh</v>
      </c>
      <c r="J62" s="5"/>
    </row>
    <row r="63" spans="1:10" ht="43.5" customHeight="1" x14ac:dyDescent="0.35">
      <c r="A63" s="27" t="s">
        <v>192</v>
      </c>
      <c r="B63" s="5" t="s">
        <v>200</v>
      </c>
      <c r="C63" s="5" t="s">
        <v>201</v>
      </c>
      <c r="D63" s="5" t="s">
        <v>202</v>
      </c>
      <c r="E63" s="5" t="s">
        <v>75</v>
      </c>
      <c r="F63" s="5" t="s">
        <v>203</v>
      </c>
      <c r="G63" s="9" t="s">
        <v>19</v>
      </c>
      <c r="H63" s="5"/>
      <c r="I63" s="5" t="str">
        <f>Cover!$G$4</f>
        <v>Dương Thị Ngọc Ánh</v>
      </c>
      <c r="J63" s="5"/>
    </row>
    <row r="64" spans="1:10" ht="37.5" x14ac:dyDescent="0.35">
      <c r="A64" s="27" t="s">
        <v>193</v>
      </c>
      <c r="B64" s="5" t="s">
        <v>204</v>
      </c>
      <c r="C64" s="5" t="s">
        <v>205</v>
      </c>
      <c r="D64" s="5" t="s">
        <v>206</v>
      </c>
      <c r="E64" s="5" t="s">
        <v>75</v>
      </c>
      <c r="F64" s="26" t="s">
        <v>207</v>
      </c>
      <c r="G64" s="9" t="s">
        <v>19</v>
      </c>
      <c r="H64" s="5"/>
      <c r="I64" s="5" t="str">
        <f>Cover!$G$4</f>
        <v>Dương Thị Ngọc Ánh</v>
      </c>
      <c r="J64" s="5"/>
    </row>
    <row r="65" spans="1:10" ht="62.5" x14ac:dyDescent="0.35">
      <c r="A65" s="27" t="s">
        <v>194</v>
      </c>
      <c r="B65" s="5" t="s">
        <v>208</v>
      </c>
      <c r="C65" s="5" t="s">
        <v>201</v>
      </c>
      <c r="D65" s="5" t="s">
        <v>209</v>
      </c>
      <c r="E65" s="5" t="s">
        <v>75</v>
      </c>
      <c r="F65" s="26" t="s">
        <v>210</v>
      </c>
      <c r="G65" s="9" t="s">
        <v>19</v>
      </c>
      <c r="H65" s="5"/>
      <c r="I65" s="5" t="str">
        <f>Cover!$G$4</f>
        <v>Dương Thị Ngọc Ánh</v>
      </c>
      <c r="J65" s="5"/>
    </row>
    <row r="66" spans="1:10" ht="50" x14ac:dyDescent="0.35">
      <c r="A66" s="27" t="s">
        <v>195</v>
      </c>
      <c r="B66" s="5" t="s">
        <v>211</v>
      </c>
      <c r="C66" s="5" t="s">
        <v>212</v>
      </c>
      <c r="D66" s="5" t="s">
        <v>213</v>
      </c>
      <c r="E66" s="5" t="s">
        <v>75</v>
      </c>
      <c r="F66" s="26" t="s">
        <v>214</v>
      </c>
      <c r="G66" s="9" t="s">
        <v>19</v>
      </c>
      <c r="H66" s="5"/>
      <c r="I66" s="5" t="str">
        <f>Cover!$G$4</f>
        <v>Dương Thị Ngọc Ánh</v>
      </c>
      <c r="J66" s="5"/>
    </row>
  </sheetData>
  <mergeCells count="6">
    <mergeCell ref="B10:C10"/>
    <mergeCell ref="B41:C41"/>
    <mergeCell ref="B59:C59"/>
    <mergeCell ref="B1:E1"/>
    <mergeCell ref="B2:E2"/>
    <mergeCell ref="B3:E3"/>
  </mergeCells>
  <conditionalFormatting sqref="G13">
    <cfRule type="cellIs" dxfId="65" priority="183" operator="equal">
      <formula>"Fail"</formula>
    </cfRule>
    <cfRule type="cellIs" dxfId="64" priority="184" operator="equal">
      <formula>"Fail"</formula>
    </cfRule>
    <cfRule type="colorScale" priority="185">
      <colorScale>
        <cfvo type="min"/>
        <cfvo type="percentile" val="50"/>
        <cfvo type="max"/>
        <color rgb="FFF8696B"/>
        <color rgb="FFFFEB84"/>
        <color rgb="FF63BE7B"/>
      </colorScale>
    </cfRule>
  </conditionalFormatting>
  <conditionalFormatting sqref="G24">
    <cfRule type="cellIs" dxfId="63" priority="181" operator="equal">
      <formula>"N/A"</formula>
    </cfRule>
  </conditionalFormatting>
  <conditionalFormatting sqref="G13:H13 G24:H61 G63:H66">
    <cfRule type="cellIs" dxfId="62" priority="178" operator="equal">
      <formula>"N/A"</formula>
    </cfRule>
    <cfRule type="cellIs" dxfId="61" priority="179" operator="equal">
      <formula>"Pass"</formula>
    </cfRule>
    <cfRule type="cellIs" dxfId="60" priority="180" operator="equal">
      <formula>"Fail"</formula>
    </cfRule>
  </conditionalFormatting>
  <conditionalFormatting sqref="G11">
    <cfRule type="cellIs" dxfId="59" priority="76" operator="equal">
      <formula>"Fail"</formula>
    </cfRule>
    <cfRule type="cellIs" dxfId="58" priority="77" operator="equal">
      <formula>"Fail"</formula>
    </cfRule>
    <cfRule type="colorScale" priority="78">
      <colorScale>
        <cfvo type="min"/>
        <cfvo type="percentile" val="50"/>
        <cfvo type="max"/>
        <color rgb="FFF8696B"/>
        <color rgb="FFFFEB84"/>
        <color rgb="FF63BE7B"/>
      </colorScale>
    </cfRule>
  </conditionalFormatting>
  <conditionalFormatting sqref="G12">
    <cfRule type="cellIs" dxfId="57" priority="75" operator="equal">
      <formula>"Pass"</formula>
    </cfRule>
  </conditionalFormatting>
  <conditionalFormatting sqref="G11:H12">
    <cfRule type="cellIs" dxfId="56" priority="72" operator="equal">
      <formula>"N/A"</formula>
    </cfRule>
    <cfRule type="cellIs" dxfId="55" priority="73" operator="equal">
      <formula>"Pass"</formula>
    </cfRule>
    <cfRule type="cellIs" dxfId="54" priority="74" operator="equal">
      <formula>"Fail"</formula>
    </cfRule>
  </conditionalFormatting>
  <conditionalFormatting sqref="G14">
    <cfRule type="cellIs" dxfId="53" priority="69" operator="equal">
      <formula>"Fail"</formula>
    </cfRule>
    <cfRule type="cellIs" dxfId="52" priority="70" operator="equal">
      <formula>"Fail"</formula>
    </cfRule>
    <cfRule type="colorScale" priority="71">
      <colorScale>
        <cfvo type="min"/>
        <cfvo type="percentile" val="50"/>
        <cfvo type="max"/>
        <color rgb="FFF8696B"/>
        <color rgb="FFFFEB84"/>
        <color rgb="FF63BE7B"/>
      </colorScale>
    </cfRule>
  </conditionalFormatting>
  <conditionalFormatting sqref="G14:H14">
    <cfRule type="cellIs" dxfId="51" priority="66" operator="equal">
      <formula>"N/A"</formula>
    </cfRule>
    <cfRule type="cellIs" dxfId="50" priority="67" operator="equal">
      <formula>"Pass"</formula>
    </cfRule>
    <cfRule type="cellIs" dxfId="49" priority="68" operator="equal">
      <formula>"Fail"</formula>
    </cfRule>
  </conditionalFormatting>
  <conditionalFormatting sqref="G17">
    <cfRule type="cellIs" dxfId="48" priority="63" operator="equal">
      <formula>"Fail"</formula>
    </cfRule>
    <cfRule type="cellIs" dxfId="47" priority="64" operator="equal">
      <formula>"Fail"</formula>
    </cfRule>
    <cfRule type="colorScale" priority="65">
      <colorScale>
        <cfvo type="min"/>
        <cfvo type="percentile" val="50"/>
        <cfvo type="max"/>
        <color rgb="FFF8696B"/>
        <color rgb="FFFFEB84"/>
        <color rgb="FF63BE7B"/>
      </colorScale>
    </cfRule>
  </conditionalFormatting>
  <conditionalFormatting sqref="G17:H17">
    <cfRule type="cellIs" dxfId="46" priority="60" operator="equal">
      <formula>"N/A"</formula>
    </cfRule>
    <cfRule type="cellIs" dxfId="45" priority="61" operator="equal">
      <formula>"Pass"</formula>
    </cfRule>
    <cfRule type="cellIs" dxfId="44" priority="62" operator="equal">
      <formula>"Fail"</formula>
    </cfRule>
  </conditionalFormatting>
  <conditionalFormatting sqref="G15">
    <cfRule type="cellIs" dxfId="43" priority="57" operator="equal">
      <formula>"Fail"</formula>
    </cfRule>
    <cfRule type="cellIs" dxfId="42" priority="58" operator="equal">
      <formula>"Fail"</formula>
    </cfRule>
    <cfRule type="colorScale" priority="59">
      <colorScale>
        <cfvo type="min"/>
        <cfvo type="percentile" val="50"/>
        <cfvo type="max"/>
        <color rgb="FFF8696B"/>
        <color rgb="FFFFEB84"/>
        <color rgb="FF63BE7B"/>
      </colorScale>
    </cfRule>
  </conditionalFormatting>
  <conditionalFormatting sqref="G16">
    <cfRule type="cellIs" dxfId="41" priority="56" operator="equal">
      <formula>"Pass"</formula>
    </cfRule>
  </conditionalFormatting>
  <conditionalFormatting sqref="G15:H16">
    <cfRule type="cellIs" dxfId="40" priority="53" operator="equal">
      <formula>"N/A"</formula>
    </cfRule>
    <cfRule type="cellIs" dxfId="39" priority="54" operator="equal">
      <formula>"Pass"</formula>
    </cfRule>
    <cfRule type="cellIs" dxfId="38" priority="55" operator="equal">
      <formula>"Fail"</formula>
    </cfRule>
  </conditionalFormatting>
  <conditionalFormatting sqref="G18">
    <cfRule type="cellIs" dxfId="37" priority="50" operator="equal">
      <formula>"Fail"</formula>
    </cfRule>
    <cfRule type="cellIs" dxfId="36" priority="51" operator="equal">
      <formula>"Fail"</formula>
    </cfRule>
    <cfRule type="colorScale" priority="52">
      <colorScale>
        <cfvo type="min"/>
        <cfvo type="percentile" val="50"/>
        <cfvo type="max"/>
        <color rgb="FFF8696B"/>
        <color rgb="FFFFEB84"/>
        <color rgb="FF63BE7B"/>
      </colorScale>
    </cfRule>
  </conditionalFormatting>
  <conditionalFormatting sqref="G18:H18">
    <cfRule type="cellIs" dxfId="35" priority="47" operator="equal">
      <formula>"N/A"</formula>
    </cfRule>
    <cfRule type="cellIs" dxfId="34" priority="48" operator="equal">
      <formula>"Pass"</formula>
    </cfRule>
    <cfRule type="cellIs" dxfId="33" priority="49" operator="equal">
      <formula>"Fail"</formula>
    </cfRule>
  </conditionalFormatting>
  <conditionalFormatting sqref="G19">
    <cfRule type="cellIs" dxfId="32" priority="44" operator="equal">
      <formula>"Fail"</formula>
    </cfRule>
    <cfRule type="cellIs" dxfId="31" priority="45" operator="equal">
      <formula>"Fail"</formula>
    </cfRule>
    <cfRule type="colorScale" priority="46">
      <colorScale>
        <cfvo type="min"/>
        <cfvo type="percentile" val="50"/>
        <cfvo type="max"/>
        <color rgb="FFF8696B"/>
        <color rgb="FFFFEB84"/>
        <color rgb="FF63BE7B"/>
      </colorScale>
    </cfRule>
  </conditionalFormatting>
  <conditionalFormatting sqref="G19:H19">
    <cfRule type="cellIs" dxfId="30" priority="41" operator="equal">
      <formula>"N/A"</formula>
    </cfRule>
    <cfRule type="cellIs" dxfId="29" priority="42" operator="equal">
      <formula>"Pass"</formula>
    </cfRule>
    <cfRule type="cellIs" dxfId="28" priority="43" operator="equal">
      <formula>"Fail"</formula>
    </cfRule>
  </conditionalFormatting>
  <conditionalFormatting sqref="G20">
    <cfRule type="cellIs" dxfId="27" priority="38" operator="equal">
      <formula>"Fail"</formula>
    </cfRule>
    <cfRule type="cellIs" dxfId="26" priority="39" operator="equal">
      <formula>"Fail"</formula>
    </cfRule>
    <cfRule type="colorScale" priority="40">
      <colorScale>
        <cfvo type="min"/>
        <cfvo type="percentile" val="50"/>
        <cfvo type="max"/>
        <color rgb="FFF8696B"/>
        <color rgb="FFFFEB84"/>
        <color rgb="FF63BE7B"/>
      </colorScale>
    </cfRule>
  </conditionalFormatting>
  <conditionalFormatting sqref="G20:H20">
    <cfRule type="cellIs" dxfId="25" priority="35" operator="equal">
      <formula>"N/A"</formula>
    </cfRule>
    <cfRule type="cellIs" dxfId="24" priority="36" operator="equal">
      <formula>"Pass"</formula>
    </cfRule>
    <cfRule type="cellIs" dxfId="23" priority="37" operator="equal">
      <formula>"Fail"</formula>
    </cfRule>
  </conditionalFormatting>
  <conditionalFormatting sqref="G23">
    <cfRule type="cellIs" dxfId="22" priority="32" operator="equal">
      <formula>"Fail"</formula>
    </cfRule>
    <cfRule type="cellIs" dxfId="21" priority="33" operator="equal">
      <formula>"Fail"</formula>
    </cfRule>
    <cfRule type="colorScale" priority="34">
      <colorScale>
        <cfvo type="min"/>
        <cfvo type="percentile" val="50"/>
        <cfvo type="max"/>
        <color rgb="FFF8696B"/>
        <color rgb="FFFFEB84"/>
        <color rgb="FF63BE7B"/>
      </colorScale>
    </cfRule>
  </conditionalFormatting>
  <conditionalFormatting sqref="G23:H23">
    <cfRule type="cellIs" dxfId="20" priority="29" operator="equal">
      <formula>"N/A"</formula>
    </cfRule>
    <cfRule type="cellIs" dxfId="19" priority="30" operator="equal">
      <formula>"Pass"</formula>
    </cfRule>
    <cfRule type="cellIs" dxfId="18" priority="31" operator="equal">
      <formula>"Fail"</formula>
    </cfRule>
  </conditionalFormatting>
  <conditionalFormatting sqref="G21">
    <cfRule type="cellIs" dxfId="17" priority="26" operator="equal">
      <formula>"Fail"</formula>
    </cfRule>
    <cfRule type="cellIs" dxfId="16" priority="27" operator="equal">
      <formula>"Fail"</formula>
    </cfRule>
    <cfRule type="colorScale" priority="28">
      <colorScale>
        <cfvo type="min"/>
        <cfvo type="percentile" val="50"/>
        <cfvo type="max"/>
        <color rgb="FFF8696B"/>
        <color rgb="FFFFEB84"/>
        <color rgb="FF63BE7B"/>
      </colorScale>
    </cfRule>
  </conditionalFormatting>
  <conditionalFormatting sqref="G22">
    <cfRule type="cellIs" dxfId="15" priority="25" operator="equal">
      <formula>"Pass"</formula>
    </cfRule>
  </conditionalFormatting>
  <conditionalFormatting sqref="G21:H22">
    <cfRule type="cellIs" dxfId="14" priority="22" operator="equal">
      <formula>"N/A"</formula>
    </cfRule>
    <cfRule type="cellIs" dxfId="13" priority="23" operator="equal">
      <formula>"Pass"</formula>
    </cfRule>
    <cfRule type="cellIs" dxfId="12" priority="24" operator="equal">
      <formula>"Fail"</formula>
    </cfRule>
  </conditionalFormatting>
  <conditionalFormatting sqref="G62:H62">
    <cfRule type="cellIs" dxfId="11" priority="1" operator="equal">
      <formula>"N/A"</formula>
    </cfRule>
    <cfRule type="cellIs" dxfId="10" priority="2" operator="equal">
      <formula>"Pass"</formula>
    </cfRule>
    <cfRule type="cellIs" dxfId="9" priority="3" operator="equal">
      <formula>"Fail"</formula>
    </cfRule>
  </conditionalFormatting>
  <dataValidations count="1">
    <dataValidation type="list" allowBlank="1" sqref="G10:G66">
      <formula1>"Pass,Fail,Untested,N/A"</formula1>
      <formula2>0</formula2>
    </dataValidation>
  </dataValidation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J62"/>
  <sheetViews>
    <sheetView showGridLines="0" zoomScale="62" zoomScaleNormal="62" workbookViewId="0">
      <selection activeCell="L12" sqref="L12"/>
    </sheetView>
  </sheetViews>
  <sheetFormatPr defaultColWidth="8.6328125" defaultRowHeight="14.5" x14ac:dyDescent="0.35"/>
  <cols>
    <col min="1" max="1" width="11" customWidth="1"/>
    <col min="2" max="2" width="28" customWidth="1"/>
    <col min="3" max="3" width="24" customWidth="1"/>
    <col min="4" max="4" width="34" customWidth="1"/>
    <col min="5" max="5" width="26" customWidth="1"/>
    <col min="6" max="6" width="34" customWidth="1"/>
    <col min="7" max="7" width="10" customWidth="1"/>
    <col min="8" max="8" width="12" customWidth="1"/>
    <col min="9" max="9" width="14" customWidth="1"/>
    <col min="10" max="10" width="20" customWidth="1"/>
  </cols>
  <sheetData>
    <row r="1" spans="1:10" ht="15" customHeight="1" x14ac:dyDescent="0.35">
      <c r="A1" s="22" t="s">
        <v>28</v>
      </c>
      <c r="B1" s="42" t="s">
        <v>61</v>
      </c>
      <c r="C1" s="42"/>
      <c r="D1" s="42"/>
      <c r="E1" s="42"/>
    </row>
    <row r="2" spans="1:10" ht="30" customHeight="1" x14ac:dyDescent="0.35">
      <c r="A2" s="22" t="s">
        <v>30</v>
      </c>
      <c r="B2" s="42" t="s">
        <v>62</v>
      </c>
      <c r="C2" s="42"/>
      <c r="D2" s="42"/>
      <c r="E2" s="42"/>
    </row>
    <row r="3" spans="1:10" x14ac:dyDescent="0.35">
      <c r="A3" s="11" t="s">
        <v>32</v>
      </c>
      <c r="B3" s="37" t="str">
        <f>Cover!$G$4</f>
        <v>Dương Thị Ngọc Ánh</v>
      </c>
      <c r="C3" s="37"/>
      <c r="D3" s="37"/>
      <c r="E3" s="37"/>
    </row>
    <row r="4" spans="1:10" x14ac:dyDescent="0.35">
      <c r="A4" s="22" t="s">
        <v>19</v>
      </c>
      <c r="B4" s="22" t="s">
        <v>20</v>
      </c>
      <c r="C4" s="22" t="s">
        <v>21</v>
      </c>
      <c r="D4" s="22" t="s">
        <v>22</v>
      </c>
      <c r="E4" s="22" t="s">
        <v>33</v>
      </c>
    </row>
    <row r="5" spans="1:10" x14ac:dyDescent="0.35">
      <c r="A5" s="16">
        <f>COUNTIF(G:G,"Pass")</f>
        <v>25</v>
      </c>
      <c r="B5" s="16">
        <f>COUNTIF(G:G,"Fail")</f>
        <v>9</v>
      </c>
      <c r="C5" s="16">
        <f>COUNTIF(G:G,"Untested")</f>
        <v>0</v>
      </c>
      <c r="D5" s="16">
        <f>COUNTIF(G:G,"N/A")</f>
        <v>0</v>
      </c>
      <c r="E5" s="16">
        <f>SUM(A5:D5)</f>
        <v>34</v>
      </c>
    </row>
    <row r="6" spans="1:10" x14ac:dyDescent="0.35">
      <c r="A6" s="16" t="s">
        <v>26</v>
      </c>
      <c r="B6" s="16" t="s">
        <v>26</v>
      </c>
      <c r="C6" s="16" t="s">
        <v>26</v>
      </c>
      <c r="D6" s="16" t="s">
        <v>26</v>
      </c>
      <c r="E6" s="10"/>
    </row>
    <row r="7" spans="1:10" x14ac:dyDescent="0.35">
      <c r="A7" s="24">
        <f>IFERROR(A5/$E$5,0)</f>
        <v>0.73529411764705888</v>
      </c>
      <c r="B7" s="24">
        <f>IFERROR(B5/$E$5,0)</f>
        <v>0.26470588235294118</v>
      </c>
      <c r="C7" s="24">
        <f>IFERROR(C5/$E$5,0)</f>
        <v>0</v>
      </c>
      <c r="D7" s="24">
        <f>IFERROR(D5/$E$5,0)</f>
        <v>0</v>
      </c>
      <c r="E7" s="24">
        <f>IFERROR(E5/$E$5,0)</f>
        <v>1</v>
      </c>
    </row>
    <row r="8" spans="1:10" ht="15" customHeight="1" x14ac:dyDescent="0.35">
      <c r="A8" s="21" t="s">
        <v>34</v>
      </c>
      <c r="B8" s="21" t="s">
        <v>35</v>
      </c>
      <c r="C8" s="21" t="s">
        <v>36</v>
      </c>
      <c r="D8" s="21" t="s">
        <v>37</v>
      </c>
      <c r="E8" s="21" t="s">
        <v>38</v>
      </c>
      <c r="F8" s="4" t="s">
        <v>39</v>
      </c>
      <c r="G8" s="30" t="s">
        <v>40</v>
      </c>
      <c r="H8" s="4" t="s">
        <v>41</v>
      </c>
      <c r="I8" s="4" t="s">
        <v>32</v>
      </c>
      <c r="J8" s="4" t="s">
        <v>15</v>
      </c>
    </row>
    <row r="9" spans="1:10" x14ac:dyDescent="0.35">
      <c r="A9" s="7"/>
      <c r="B9" s="7"/>
      <c r="C9" s="7"/>
      <c r="D9" s="7"/>
      <c r="E9" s="7"/>
      <c r="F9" s="7"/>
      <c r="G9" s="4"/>
      <c r="H9" s="7"/>
      <c r="I9" s="7"/>
      <c r="J9" s="7"/>
    </row>
    <row r="10" spans="1:10" ht="15" customHeight="1" x14ac:dyDescent="0.35">
      <c r="A10" s="8"/>
      <c r="B10" s="43" t="s">
        <v>42</v>
      </c>
      <c r="C10" s="44"/>
      <c r="D10" s="8"/>
      <c r="E10" s="8"/>
      <c r="F10" s="8"/>
      <c r="G10" s="8"/>
      <c r="H10" s="8"/>
      <c r="I10" s="8"/>
      <c r="J10" s="8"/>
    </row>
    <row r="11" spans="1:10" ht="48.5" customHeight="1" x14ac:dyDescent="0.35">
      <c r="A11" s="6" t="s">
        <v>43</v>
      </c>
      <c r="B11" s="5" t="s">
        <v>343</v>
      </c>
      <c r="C11" s="5" t="s">
        <v>215</v>
      </c>
      <c r="D11" s="5" t="s">
        <v>359</v>
      </c>
      <c r="E11" s="5" t="s">
        <v>75</v>
      </c>
      <c r="F11" s="5" t="s">
        <v>440</v>
      </c>
      <c r="G11" s="9" t="s">
        <v>19</v>
      </c>
      <c r="H11" s="5"/>
      <c r="I11" s="5" t="str">
        <f>Cover!$G$4</f>
        <v>Dương Thị Ngọc Ánh</v>
      </c>
      <c r="J11" s="5"/>
    </row>
    <row r="12" spans="1:10" ht="42" customHeight="1" x14ac:dyDescent="0.35">
      <c r="A12" s="6" t="s">
        <v>44</v>
      </c>
      <c r="B12" s="5" t="s">
        <v>344</v>
      </c>
      <c r="C12" s="5"/>
      <c r="D12" s="5" t="s">
        <v>360</v>
      </c>
      <c r="E12" s="5" t="s">
        <v>75</v>
      </c>
      <c r="F12" s="5" t="s">
        <v>441</v>
      </c>
      <c r="G12" s="9" t="s">
        <v>19</v>
      </c>
      <c r="H12" s="5"/>
      <c r="I12" s="5" t="str">
        <f>Cover!$G$4</f>
        <v>Dương Thị Ngọc Ánh</v>
      </c>
      <c r="J12" s="5"/>
    </row>
    <row r="13" spans="1:10" ht="98" customHeight="1" x14ac:dyDescent="0.35">
      <c r="A13" s="6" t="s">
        <v>45</v>
      </c>
      <c r="B13" s="5" t="s">
        <v>345</v>
      </c>
      <c r="C13" s="5"/>
      <c r="D13" s="5" t="s">
        <v>361</v>
      </c>
      <c r="E13" s="5" t="s">
        <v>75</v>
      </c>
      <c r="F13" s="5" t="s">
        <v>442</v>
      </c>
      <c r="G13" s="9" t="s">
        <v>19</v>
      </c>
      <c r="H13" s="5"/>
      <c r="I13" s="5" t="str">
        <f>Cover!$G$4</f>
        <v>Dương Thị Ngọc Ánh</v>
      </c>
      <c r="J13" s="5"/>
    </row>
    <row r="14" spans="1:10" ht="36" customHeight="1" x14ac:dyDescent="0.35">
      <c r="A14" s="6" t="s">
        <v>46</v>
      </c>
      <c r="B14" s="5" t="s">
        <v>346</v>
      </c>
      <c r="C14" s="5"/>
      <c r="D14" s="5" t="s">
        <v>360</v>
      </c>
      <c r="E14" s="5" t="s">
        <v>75</v>
      </c>
      <c r="F14" s="5" t="s">
        <v>443</v>
      </c>
      <c r="G14" s="9" t="s">
        <v>19</v>
      </c>
      <c r="H14" s="5"/>
      <c r="I14" s="5" t="str">
        <f>Cover!$G$4</f>
        <v>Dương Thị Ngọc Ánh</v>
      </c>
      <c r="J14" s="5"/>
    </row>
    <row r="15" spans="1:10" ht="66" customHeight="1" x14ac:dyDescent="0.35">
      <c r="A15" s="6" t="s">
        <v>47</v>
      </c>
      <c r="B15" s="5" t="s">
        <v>347</v>
      </c>
      <c r="C15" s="5"/>
      <c r="D15" s="5" t="s">
        <v>361</v>
      </c>
      <c r="E15" s="5" t="s">
        <v>75</v>
      </c>
      <c r="F15" s="5" t="s">
        <v>444</v>
      </c>
      <c r="G15" s="9" t="s">
        <v>19</v>
      </c>
      <c r="H15" s="5"/>
      <c r="I15" s="5" t="str">
        <f>Cover!$G$4</f>
        <v>Dương Thị Ngọc Ánh</v>
      </c>
      <c r="J15" s="5"/>
    </row>
    <row r="16" spans="1:10" ht="43" customHeight="1" x14ac:dyDescent="0.35">
      <c r="A16" s="6" t="s">
        <v>48</v>
      </c>
      <c r="B16" s="5" t="s">
        <v>348</v>
      </c>
      <c r="C16" s="5"/>
      <c r="D16" s="5" t="s">
        <v>362</v>
      </c>
      <c r="E16" s="5" t="s">
        <v>75</v>
      </c>
      <c r="F16" s="5" t="s">
        <v>445</v>
      </c>
      <c r="G16" s="9" t="s">
        <v>19</v>
      </c>
      <c r="H16" s="5"/>
      <c r="I16" s="5" t="str">
        <f>Cover!$G$4</f>
        <v>Dương Thị Ngọc Ánh</v>
      </c>
      <c r="J16" s="5"/>
    </row>
    <row r="17" spans="1:10" ht="51" customHeight="1" x14ac:dyDescent="0.35">
      <c r="A17" s="6" t="s">
        <v>49</v>
      </c>
      <c r="B17" s="5" t="s">
        <v>349</v>
      </c>
      <c r="C17" s="5"/>
      <c r="D17" s="5" t="s">
        <v>360</v>
      </c>
      <c r="E17" s="5" t="s">
        <v>75</v>
      </c>
      <c r="F17" s="5" t="s">
        <v>446</v>
      </c>
      <c r="G17" s="9" t="s">
        <v>19</v>
      </c>
      <c r="H17" s="5"/>
      <c r="I17" s="5" t="str">
        <f>Cover!$G$4</f>
        <v>Dương Thị Ngọc Ánh</v>
      </c>
      <c r="J17" s="5"/>
    </row>
    <row r="18" spans="1:10" ht="81" customHeight="1" x14ac:dyDescent="0.35">
      <c r="A18" s="6" t="s">
        <v>50</v>
      </c>
      <c r="B18" s="5" t="s">
        <v>350</v>
      </c>
      <c r="C18" s="5"/>
      <c r="D18" s="5" t="s">
        <v>363</v>
      </c>
      <c r="E18" s="5" t="s">
        <v>75</v>
      </c>
      <c r="F18" s="5" t="s">
        <v>447</v>
      </c>
      <c r="G18" s="9" t="s">
        <v>19</v>
      </c>
      <c r="H18" s="5"/>
      <c r="I18" s="5" t="str">
        <f>Cover!$G$4</f>
        <v>Dương Thị Ngọc Ánh</v>
      </c>
      <c r="J18" s="5"/>
    </row>
    <row r="19" spans="1:10" ht="39" customHeight="1" x14ac:dyDescent="0.35">
      <c r="A19" s="6" t="s">
        <v>52</v>
      </c>
      <c r="B19" s="5" t="s">
        <v>351</v>
      </c>
      <c r="C19" s="5"/>
      <c r="D19" s="5" t="s">
        <v>360</v>
      </c>
      <c r="E19" s="5" t="s">
        <v>75</v>
      </c>
      <c r="F19" s="5" t="s">
        <v>448</v>
      </c>
      <c r="G19" s="9" t="s">
        <v>19</v>
      </c>
      <c r="H19" s="5"/>
      <c r="I19" s="5" t="str">
        <f>Cover!$G$4</f>
        <v>Dương Thị Ngọc Ánh</v>
      </c>
      <c r="J19" s="5"/>
    </row>
    <row r="20" spans="1:10" ht="60" customHeight="1" x14ac:dyDescent="0.35">
      <c r="A20" s="6" t="s">
        <v>53</v>
      </c>
      <c r="B20" s="5" t="s">
        <v>352</v>
      </c>
      <c r="C20" s="5"/>
      <c r="D20" s="5" t="s">
        <v>361</v>
      </c>
      <c r="E20" s="5" t="s">
        <v>75</v>
      </c>
      <c r="F20" s="5" t="s">
        <v>449</v>
      </c>
      <c r="G20" s="9" t="s">
        <v>19</v>
      </c>
      <c r="H20" s="5"/>
      <c r="I20" s="5" t="str">
        <f>Cover!$G$4</f>
        <v>Dương Thị Ngọc Ánh</v>
      </c>
      <c r="J20" s="5"/>
    </row>
    <row r="21" spans="1:10" ht="36" customHeight="1" x14ac:dyDescent="0.35">
      <c r="A21" s="6" t="s">
        <v>54</v>
      </c>
      <c r="B21" s="5" t="s">
        <v>353</v>
      </c>
      <c r="C21" s="5"/>
      <c r="D21" s="5" t="s">
        <v>360</v>
      </c>
      <c r="E21" s="5" t="s">
        <v>75</v>
      </c>
      <c r="F21" s="5" t="s">
        <v>450</v>
      </c>
      <c r="G21" s="9" t="s">
        <v>19</v>
      </c>
      <c r="H21" s="5"/>
      <c r="I21" s="5" t="str">
        <f>Cover!$G$4</f>
        <v>Dương Thị Ngọc Ánh</v>
      </c>
      <c r="J21" s="5"/>
    </row>
    <row r="22" spans="1:10" ht="62.5" x14ac:dyDescent="0.35">
      <c r="A22" s="6" t="s">
        <v>55</v>
      </c>
      <c r="B22" s="5" t="s">
        <v>354</v>
      </c>
      <c r="C22" s="5"/>
      <c r="D22" s="5" t="s">
        <v>364</v>
      </c>
      <c r="E22" s="5" t="s">
        <v>75</v>
      </c>
      <c r="F22" s="5" t="s">
        <v>451</v>
      </c>
      <c r="G22" s="9" t="s">
        <v>19</v>
      </c>
      <c r="H22" s="5"/>
      <c r="I22" s="5" t="str">
        <f>Cover!$G$4</f>
        <v>Dương Thị Ngọc Ánh</v>
      </c>
      <c r="J22" s="5"/>
    </row>
    <row r="23" spans="1:10" ht="47.5" customHeight="1" x14ac:dyDescent="0.35">
      <c r="A23" s="6" t="s">
        <v>56</v>
      </c>
      <c r="B23" s="5" t="s">
        <v>355</v>
      </c>
      <c r="C23" s="5"/>
      <c r="D23" s="5" t="s">
        <v>365</v>
      </c>
      <c r="E23" s="5" t="s">
        <v>75</v>
      </c>
      <c r="F23" s="5" t="s">
        <v>452</v>
      </c>
      <c r="G23" s="9" t="s">
        <v>19</v>
      </c>
      <c r="H23" s="5"/>
      <c r="I23" s="5" t="str">
        <f>Cover!$G$4</f>
        <v>Dương Thị Ngọc Ánh</v>
      </c>
      <c r="J23" s="5"/>
    </row>
    <row r="24" spans="1:10" ht="43" customHeight="1" x14ac:dyDescent="0.35">
      <c r="A24" s="6" t="s">
        <v>57</v>
      </c>
      <c r="B24" s="5" t="s">
        <v>356</v>
      </c>
      <c r="C24" s="5"/>
      <c r="D24" s="5" t="s">
        <v>366</v>
      </c>
      <c r="E24" s="5" t="s">
        <v>75</v>
      </c>
      <c r="F24" s="5" t="s">
        <v>393</v>
      </c>
      <c r="G24" s="9" t="s">
        <v>19</v>
      </c>
      <c r="H24" s="5"/>
      <c r="I24" s="5" t="str">
        <f>Cover!$G$4</f>
        <v>Dương Thị Ngọc Ánh</v>
      </c>
      <c r="J24" s="5"/>
    </row>
    <row r="25" spans="1:10" ht="45.5" customHeight="1" x14ac:dyDescent="0.35">
      <c r="A25" s="6" t="s">
        <v>58</v>
      </c>
      <c r="B25" s="5" t="s">
        <v>357</v>
      </c>
      <c r="C25" s="5"/>
      <c r="D25" s="5" t="s">
        <v>367</v>
      </c>
      <c r="E25" s="5" t="s">
        <v>75</v>
      </c>
      <c r="F25" s="5" t="s">
        <v>453</v>
      </c>
      <c r="G25" s="9" t="s">
        <v>19</v>
      </c>
      <c r="H25" s="5"/>
      <c r="I25" s="5" t="str">
        <f>Cover!$G$4</f>
        <v>Dương Thị Ngọc Ánh</v>
      </c>
      <c r="J25" s="5"/>
    </row>
    <row r="26" spans="1:10" ht="37.5" x14ac:dyDescent="0.35">
      <c r="A26" s="6" t="s">
        <v>59</v>
      </c>
      <c r="B26" s="5" t="s">
        <v>358</v>
      </c>
      <c r="C26" s="5"/>
      <c r="D26" s="5" t="s">
        <v>368</v>
      </c>
      <c r="E26" s="5" t="s">
        <v>75</v>
      </c>
      <c r="F26" s="5" t="s">
        <v>454</v>
      </c>
      <c r="G26" s="9" t="s">
        <v>19</v>
      </c>
      <c r="H26" s="5"/>
      <c r="I26" s="5" t="str">
        <f>Cover!$G$4</f>
        <v>Dương Thị Ngọc Ánh</v>
      </c>
      <c r="J26" s="5"/>
    </row>
    <row r="27" spans="1:10" ht="155" customHeight="1" x14ac:dyDescent="0.35">
      <c r="A27" s="6" t="s">
        <v>99</v>
      </c>
      <c r="B27" s="5" t="s">
        <v>216</v>
      </c>
      <c r="C27" s="26" t="s">
        <v>369</v>
      </c>
      <c r="D27" s="5" t="s">
        <v>219</v>
      </c>
      <c r="E27" s="26" t="s">
        <v>456</v>
      </c>
      <c r="F27" s="5" t="s">
        <v>217</v>
      </c>
      <c r="G27" s="9" t="s">
        <v>20</v>
      </c>
      <c r="H27" s="5"/>
      <c r="I27" s="5" t="str">
        <f>Cover!$G$4</f>
        <v>Dương Thị Ngọc Ánh</v>
      </c>
      <c r="J27" s="26" t="s">
        <v>457</v>
      </c>
    </row>
    <row r="28" spans="1:10" ht="106" customHeight="1" x14ac:dyDescent="0.35">
      <c r="A28" s="6" t="s">
        <v>101</v>
      </c>
      <c r="B28" s="5" t="s">
        <v>218</v>
      </c>
      <c r="C28" s="5"/>
      <c r="D28" s="5" t="s">
        <v>220</v>
      </c>
      <c r="E28" s="26" t="s">
        <v>221</v>
      </c>
      <c r="F28" s="5" t="s">
        <v>222</v>
      </c>
      <c r="G28" s="9" t="s">
        <v>19</v>
      </c>
      <c r="H28" s="5"/>
      <c r="I28" s="5" t="str">
        <f>Cover!$G$4</f>
        <v>Dương Thị Ngọc Ánh</v>
      </c>
      <c r="J28" s="5"/>
    </row>
    <row r="29" spans="1:10" ht="62.5" x14ac:dyDescent="0.35">
      <c r="A29" s="6" t="s">
        <v>102</v>
      </c>
      <c r="B29" s="5" t="s">
        <v>223</v>
      </c>
      <c r="C29" s="5"/>
      <c r="D29" s="5" t="s">
        <v>224</v>
      </c>
      <c r="E29" s="5" t="s">
        <v>75</v>
      </c>
      <c r="F29" s="26" t="s">
        <v>458</v>
      </c>
      <c r="G29" s="9" t="s">
        <v>19</v>
      </c>
      <c r="H29" s="5"/>
      <c r="I29" s="5" t="str">
        <f>Cover!$G$4</f>
        <v>Dương Thị Ngọc Ánh</v>
      </c>
      <c r="J29" s="5"/>
    </row>
    <row r="30" spans="1:10" ht="75" x14ac:dyDescent="0.35">
      <c r="A30" s="6" t="s">
        <v>107</v>
      </c>
      <c r="B30" s="5" t="s">
        <v>225</v>
      </c>
      <c r="C30" s="5"/>
      <c r="D30" s="5" t="s">
        <v>226</v>
      </c>
      <c r="E30" s="5" t="s">
        <v>75</v>
      </c>
      <c r="F30" s="5" t="s">
        <v>227</v>
      </c>
      <c r="G30" s="9" t="s">
        <v>20</v>
      </c>
      <c r="H30" s="5"/>
      <c r="I30" s="5" t="str">
        <f>Cover!$G$4</f>
        <v>Dương Thị Ngọc Ánh</v>
      </c>
      <c r="J30" s="26" t="s">
        <v>459</v>
      </c>
    </row>
    <row r="31" spans="1:10" ht="55" customHeight="1" x14ac:dyDescent="0.35">
      <c r="A31" s="6" t="s">
        <v>110</v>
      </c>
      <c r="B31" s="5" t="s">
        <v>228</v>
      </c>
      <c r="C31" s="5"/>
      <c r="D31" s="26" t="s">
        <v>460</v>
      </c>
      <c r="E31" s="26" t="s">
        <v>229</v>
      </c>
      <c r="F31" s="5" t="s">
        <v>230</v>
      </c>
      <c r="G31" s="9" t="s">
        <v>20</v>
      </c>
      <c r="H31" s="5"/>
      <c r="I31" s="5" t="str">
        <f>Cover!$G$4</f>
        <v>Dương Thị Ngọc Ánh</v>
      </c>
      <c r="J31" s="26" t="s">
        <v>459</v>
      </c>
    </row>
    <row r="32" spans="1:10" ht="62.5" x14ac:dyDescent="0.35">
      <c r="A32" s="6" t="s">
        <v>115</v>
      </c>
      <c r="B32" s="5" t="s">
        <v>231</v>
      </c>
      <c r="C32" s="5"/>
      <c r="D32" s="5" t="s">
        <v>233</v>
      </c>
      <c r="E32" s="26" t="s">
        <v>232</v>
      </c>
      <c r="F32" s="5" t="s">
        <v>234</v>
      </c>
      <c r="G32" s="9" t="s">
        <v>20</v>
      </c>
      <c r="H32" s="5"/>
      <c r="I32" s="5" t="str">
        <f>Cover!$G$4</f>
        <v>Dương Thị Ngọc Ánh</v>
      </c>
      <c r="J32" s="26" t="s">
        <v>459</v>
      </c>
    </row>
    <row r="33" spans="1:10" ht="59" customHeight="1" x14ac:dyDescent="0.35">
      <c r="A33" s="6" t="s">
        <v>118</v>
      </c>
      <c r="B33" s="5" t="s">
        <v>236</v>
      </c>
      <c r="C33" s="5"/>
      <c r="D33" s="5" t="s">
        <v>237</v>
      </c>
      <c r="E33" s="5" t="s">
        <v>235</v>
      </c>
      <c r="F33" s="5" t="s">
        <v>238</v>
      </c>
      <c r="G33" s="9" t="s">
        <v>20</v>
      </c>
      <c r="H33" s="5"/>
      <c r="I33" s="5" t="str">
        <f>Cover!$G$4</f>
        <v>Dương Thị Ngọc Ánh</v>
      </c>
      <c r="J33" s="26" t="s">
        <v>459</v>
      </c>
    </row>
    <row r="34" spans="1:10" ht="54.5" customHeight="1" x14ac:dyDescent="0.35">
      <c r="A34" s="6" t="s">
        <v>122</v>
      </c>
      <c r="B34" s="5" t="s">
        <v>239</v>
      </c>
      <c r="C34" s="5" t="s">
        <v>240</v>
      </c>
      <c r="D34" s="5" t="s">
        <v>401</v>
      </c>
      <c r="E34" s="5"/>
      <c r="F34" s="5" t="s">
        <v>241</v>
      </c>
      <c r="G34" s="9" t="s">
        <v>20</v>
      </c>
      <c r="H34" s="5"/>
      <c r="I34" s="5" t="str">
        <f>Cover!$G$4</f>
        <v>Dương Thị Ngọc Ánh</v>
      </c>
      <c r="J34" s="26" t="s">
        <v>459</v>
      </c>
    </row>
    <row r="35" spans="1:10" ht="83.5" customHeight="1" x14ac:dyDescent="0.35">
      <c r="A35" s="6" t="s">
        <v>124</v>
      </c>
      <c r="B35" s="5" t="s">
        <v>243</v>
      </c>
      <c r="C35" s="5"/>
      <c r="D35" s="5" t="s">
        <v>245</v>
      </c>
      <c r="E35" s="5" t="s">
        <v>242</v>
      </c>
      <c r="F35" s="5" t="s">
        <v>244</v>
      </c>
      <c r="G35" s="9" t="s">
        <v>20</v>
      </c>
      <c r="H35" s="5"/>
      <c r="I35" s="5" t="str">
        <f>Cover!$G$4</f>
        <v>Dương Thị Ngọc Ánh</v>
      </c>
      <c r="J35" s="26" t="s">
        <v>457</v>
      </c>
    </row>
    <row r="36" spans="1:10" ht="82.5" customHeight="1" x14ac:dyDescent="0.35">
      <c r="A36" s="6" t="s">
        <v>125</v>
      </c>
      <c r="B36" s="5" t="s">
        <v>246</v>
      </c>
      <c r="C36" s="5"/>
      <c r="D36" s="5" t="s">
        <v>248</v>
      </c>
      <c r="E36" s="26" t="s">
        <v>247</v>
      </c>
      <c r="F36" s="5" t="s">
        <v>249</v>
      </c>
      <c r="G36" s="9" t="s">
        <v>20</v>
      </c>
      <c r="H36" s="5"/>
      <c r="I36" s="5" t="str">
        <f>Cover!$G$4</f>
        <v>Dương Thị Ngọc Ánh</v>
      </c>
      <c r="J36" s="26" t="s">
        <v>457</v>
      </c>
    </row>
    <row r="37" spans="1:10" ht="85.5" customHeight="1" x14ac:dyDescent="0.35">
      <c r="A37" s="6" t="s">
        <v>126</v>
      </c>
      <c r="B37" s="5" t="s">
        <v>250</v>
      </c>
      <c r="C37" s="5"/>
      <c r="D37" s="5" t="s">
        <v>252</v>
      </c>
      <c r="E37" s="26" t="s">
        <v>251</v>
      </c>
      <c r="F37" s="26" t="s">
        <v>461</v>
      </c>
      <c r="G37" s="9" t="s">
        <v>19</v>
      </c>
      <c r="H37" s="5"/>
      <c r="I37" s="5" t="str">
        <f>Cover!$G$4</f>
        <v>Dương Thị Ngọc Ánh</v>
      </c>
      <c r="J37" s="26"/>
    </row>
    <row r="38" spans="1:10" ht="101" customHeight="1" x14ac:dyDescent="0.35">
      <c r="A38" s="6" t="s">
        <v>127</v>
      </c>
      <c r="B38" s="5" t="s">
        <v>253</v>
      </c>
      <c r="C38" s="5"/>
      <c r="D38" s="5" t="s">
        <v>255</v>
      </c>
      <c r="E38" s="26" t="s">
        <v>254</v>
      </c>
      <c r="F38" s="26" t="s">
        <v>463</v>
      </c>
      <c r="G38" s="9" t="s">
        <v>20</v>
      </c>
      <c r="H38" s="5"/>
      <c r="I38" s="5" t="str">
        <f>Cover!$G$4</f>
        <v>Dương Thị Ngọc Ánh</v>
      </c>
      <c r="J38" s="26" t="s">
        <v>457</v>
      </c>
    </row>
    <row r="39" spans="1:10" ht="64.5" customHeight="1" x14ac:dyDescent="0.35">
      <c r="A39" s="6" t="s">
        <v>128</v>
      </c>
      <c r="B39" s="5" t="s">
        <v>256</v>
      </c>
      <c r="C39" s="5"/>
      <c r="D39" s="26" t="s">
        <v>462</v>
      </c>
      <c r="E39" s="26" t="s">
        <v>257</v>
      </c>
      <c r="F39" s="5" t="s">
        <v>259</v>
      </c>
      <c r="G39" s="9" t="s">
        <v>19</v>
      </c>
      <c r="H39" s="5"/>
      <c r="I39" s="5" t="str">
        <f>Cover!$G$4</f>
        <v>Dương Thị Ngọc Ánh</v>
      </c>
      <c r="J39" s="5"/>
    </row>
    <row r="40" spans="1:10" ht="68.5" customHeight="1" x14ac:dyDescent="0.35">
      <c r="A40" s="6" t="s">
        <v>129</v>
      </c>
      <c r="B40" s="5" t="s">
        <v>260</v>
      </c>
      <c r="C40" s="5"/>
      <c r="D40" s="5" t="s">
        <v>258</v>
      </c>
      <c r="E40" s="26" t="s">
        <v>261</v>
      </c>
      <c r="F40" s="26" t="s">
        <v>464</v>
      </c>
      <c r="G40" s="9" t="s">
        <v>19</v>
      </c>
      <c r="H40" s="5"/>
      <c r="I40" s="5" t="str">
        <f>Cover!$G$4</f>
        <v>Dương Thị Ngọc Ánh</v>
      </c>
      <c r="J40" s="26"/>
    </row>
    <row r="41" spans="1:10" ht="66.5" customHeight="1" x14ac:dyDescent="0.35">
      <c r="A41" s="6" t="s">
        <v>130</v>
      </c>
      <c r="B41" s="5" t="s">
        <v>262</v>
      </c>
      <c r="C41" s="5"/>
      <c r="D41" s="5" t="s">
        <v>258</v>
      </c>
      <c r="E41" s="26" t="s">
        <v>263</v>
      </c>
      <c r="F41" s="26" t="s">
        <v>264</v>
      </c>
      <c r="G41" s="9" t="s">
        <v>19</v>
      </c>
      <c r="H41" s="5"/>
      <c r="I41" s="5" t="str">
        <f>Cover!$G$4</f>
        <v>Dương Thị Ngọc Ánh</v>
      </c>
      <c r="J41" s="5"/>
    </row>
    <row r="42" spans="1:10" ht="100" x14ac:dyDescent="0.35">
      <c r="A42" s="6" t="s">
        <v>131</v>
      </c>
      <c r="B42" s="5" t="s">
        <v>265</v>
      </c>
      <c r="C42" s="5"/>
      <c r="D42" s="5" t="s">
        <v>268</v>
      </c>
      <c r="E42" s="26" t="s">
        <v>266</v>
      </c>
      <c r="F42" s="5" t="s">
        <v>267</v>
      </c>
      <c r="G42" s="9" t="s">
        <v>19</v>
      </c>
      <c r="H42" s="5"/>
      <c r="I42" s="5" t="str">
        <f>Cover!$G$4</f>
        <v>Dương Thị Ngọc Ánh</v>
      </c>
      <c r="J42" s="5"/>
    </row>
    <row r="43" spans="1:10" ht="75" x14ac:dyDescent="0.35">
      <c r="A43" s="6" t="s">
        <v>132</v>
      </c>
      <c r="B43" s="26" t="s">
        <v>269</v>
      </c>
      <c r="C43" s="5"/>
      <c r="D43" s="26" t="s">
        <v>271</v>
      </c>
      <c r="E43" s="26" t="s">
        <v>270</v>
      </c>
      <c r="F43" s="26" t="s">
        <v>272</v>
      </c>
      <c r="G43" s="9" t="s">
        <v>19</v>
      </c>
      <c r="H43" s="5"/>
      <c r="I43" s="5" t="str">
        <f>Cover!$G$4</f>
        <v>Dương Thị Ngọc Ánh</v>
      </c>
      <c r="J43" s="5"/>
    </row>
    <row r="44" spans="1:10" ht="125" x14ac:dyDescent="0.35">
      <c r="A44" s="6" t="s">
        <v>133</v>
      </c>
      <c r="B44" s="26" t="s">
        <v>465</v>
      </c>
      <c r="C44" s="5"/>
      <c r="D44" s="26" t="s">
        <v>466</v>
      </c>
      <c r="E44" s="5"/>
      <c r="F44" s="26" t="s">
        <v>467</v>
      </c>
      <c r="G44" s="9" t="s">
        <v>19</v>
      </c>
      <c r="H44" s="5"/>
      <c r="I44" s="5" t="str">
        <f>Cover!$G$4</f>
        <v>Dương Thị Ngọc Ánh</v>
      </c>
      <c r="J44" s="5"/>
    </row>
    <row r="55" ht="33.5" customHeight="1" x14ac:dyDescent="0.35"/>
    <row r="61" ht="60.5" customHeight="1" x14ac:dyDescent="0.35"/>
    <row r="62" ht="43.5" customHeight="1" x14ac:dyDescent="0.35"/>
  </sheetData>
  <mergeCells count="4">
    <mergeCell ref="B10:C10"/>
    <mergeCell ref="B1:E1"/>
    <mergeCell ref="B2:E2"/>
    <mergeCell ref="B3:E3"/>
  </mergeCells>
  <conditionalFormatting sqref="G11:G44">
    <cfRule type="cellIs" dxfId="8" priority="1" operator="equal">
      <formula>"N/A"</formula>
    </cfRule>
    <cfRule type="cellIs" dxfId="7" priority="2" operator="equal">
      <formula>"Fail"</formula>
    </cfRule>
    <cfRule type="cellIs" dxfId="6" priority="3" operator="equal">
      <formula>"Pass"</formula>
    </cfRule>
  </conditionalFormatting>
  <dataValidations count="1">
    <dataValidation type="list" allowBlank="1" sqref="G11:G44">
      <formula1>"Pass,Fail,Untested,N/A"</formula1>
      <formula2>0</formula2>
    </dataValidation>
  </dataValidation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60"/>
  <sheetViews>
    <sheetView showGridLines="0" tabSelected="1" topLeftCell="A5" zoomScale="58" zoomScaleNormal="58" workbookViewId="0">
      <selection activeCell="D61" sqref="D61"/>
    </sheetView>
  </sheetViews>
  <sheetFormatPr defaultColWidth="8.6328125" defaultRowHeight="14.5" x14ac:dyDescent="0.35"/>
  <cols>
    <col min="1" max="1" width="11" customWidth="1"/>
    <col min="2" max="2" width="28" customWidth="1"/>
    <col min="3" max="3" width="24" customWidth="1"/>
    <col min="4" max="4" width="34" customWidth="1"/>
    <col min="5" max="5" width="26" customWidth="1"/>
    <col min="6" max="6" width="34" customWidth="1"/>
    <col min="7" max="7" width="10" customWidth="1"/>
    <col min="8" max="8" width="12" customWidth="1"/>
    <col min="9" max="9" width="14" customWidth="1"/>
    <col min="10" max="10" width="20" customWidth="1"/>
  </cols>
  <sheetData>
    <row r="1" spans="1:10" ht="15" customHeight="1" x14ac:dyDescent="0.35">
      <c r="A1" s="22" t="s">
        <v>28</v>
      </c>
      <c r="B1" s="42" t="s">
        <v>63</v>
      </c>
      <c r="C1" s="42"/>
      <c r="D1" s="42"/>
      <c r="E1" s="42"/>
    </row>
    <row r="2" spans="1:10" ht="30" customHeight="1" x14ac:dyDescent="0.35">
      <c r="A2" s="22" t="s">
        <v>30</v>
      </c>
      <c r="B2" s="42" t="s">
        <v>64</v>
      </c>
      <c r="C2" s="42"/>
      <c r="D2" s="42"/>
      <c r="E2" s="42"/>
    </row>
    <row r="3" spans="1:10" x14ac:dyDescent="0.35">
      <c r="A3" s="11" t="s">
        <v>32</v>
      </c>
      <c r="B3" s="37" t="str">
        <f>Cover!$G$4</f>
        <v>Dương Thị Ngọc Ánh</v>
      </c>
      <c r="C3" s="37"/>
      <c r="D3" s="37"/>
      <c r="E3" s="37"/>
    </row>
    <row r="4" spans="1:10" x14ac:dyDescent="0.35">
      <c r="A4" s="22" t="s">
        <v>19</v>
      </c>
      <c r="B4" s="22" t="s">
        <v>20</v>
      </c>
      <c r="C4" s="22" t="s">
        <v>21</v>
      </c>
      <c r="D4" s="22" t="s">
        <v>22</v>
      </c>
      <c r="E4" s="22" t="s">
        <v>33</v>
      </c>
    </row>
    <row r="5" spans="1:10" x14ac:dyDescent="0.35">
      <c r="A5" s="16">
        <f>COUNTIF(G:G,"Pass")</f>
        <v>44</v>
      </c>
      <c r="B5" s="16">
        <f>COUNTIF(G:G,"Fail")</f>
        <v>6</v>
      </c>
      <c r="C5" s="16">
        <f>COUNTIF(G:G,"Untested")</f>
        <v>1</v>
      </c>
      <c r="D5" s="16">
        <f>COUNTIF(G:G,"N/A")</f>
        <v>0</v>
      </c>
      <c r="E5" s="16">
        <f>SUM(A5:D5)</f>
        <v>51</v>
      </c>
    </row>
    <row r="6" spans="1:10" x14ac:dyDescent="0.35">
      <c r="A6" s="16" t="s">
        <v>26</v>
      </c>
      <c r="B6" s="16" t="s">
        <v>26</v>
      </c>
      <c r="C6" s="16" t="s">
        <v>26</v>
      </c>
      <c r="D6" s="16" t="s">
        <v>26</v>
      </c>
      <c r="E6" s="10"/>
    </row>
    <row r="7" spans="1:10" x14ac:dyDescent="0.35">
      <c r="A7" s="24">
        <f>IFERROR(A5/$E$5,0)</f>
        <v>0.86274509803921573</v>
      </c>
      <c r="B7" s="24">
        <f>IFERROR(B5/$E$5,0)</f>
        <v>0.11764705882352941</v>
      </c>
      <c r="C7" s="24">
        <f>IFERROR(C5/$E$5,0)</f>
        <v>1.9607843137254902E-2</v>
      </c>
      <c r="D7" s="24">
        <f>IFERROR(D5/$E$5,0)</f>
        <v>0</v>
      </c>
      <c r="E7" s="24">
        <f>IFERROR(E5/$E$5,0)</f>
        <v>1</v>
      </c>
    </row>
    <row r="8" spans="1:10" ht="15" customHeight="1" x14ac:dyDescent="0.35">
      <c r="A8" s="21" t="s">
        <v>34</v>
      </c>
      <c r="B8" s="21" t="s">
        <v>35</v>
      </c>
      <c r="C8" s="21" t="s">
        <v>36</v>
      </c>
      <c r="D8" s="21" t="s">
        <v>37</v>
      </c>
      <c r="E8" s="21" t="s">
        <v>38</v>
      </c>
      <c r="F8" s="4" t="s">
        <v>39</v>
      </c>
      <c r="G8" s="30" t="s">
        <v>40</v>
      </c>
      <c r="H8" s="4" t="s">
        <v>41</v>
      </c>
      <c r="I8" s="4" t="s">
        <v>32</v>
      </c>
      <c r="J8" s="4" t="s">
        <v>15</v>
      </c>
    </row>
    <row r="9" spans="1:10" x14ac:dyDescent="0.35">
      <c r="A9" s="7"/>
      <c r="B9" s="7"/>
      <c r="C9" s="7"/>
      <c r="D9" s="7"/>
      <c r="E9" s="7"/>
      <c r="F9" s="7"/>
      <c r="G9" s="4"/>
      <c r="H9" s="7"/>
      <c r="I9" s="7"/>
      <c r="J9" s="7"/>
    </row>
    <row r="10" spans="1:10" ht="50" x14ac:dyDescent="0.35">
      <c r="A10" s="6" t="s">
        <v>43</v>
      </c>
      <c r="B10" s="5" t="s">
        <v>468</v>
      </c>
      <c r="C10" s="5"/>
      <c r="D10" s="5" t="s">
        <v>387</v>
      </c>
      <c r="E10" s="5" t="s">
        <v>75</v>
      </c>
      <c r="F10" s="5" t="s">
        <v>504</v>
      </c>
      <c r="G10" s="9" t="s">
        <v>19</v>
      </c>
      <c r="H10" s="5"/>
      <c r="I10" s="5" t="str">
        <f>Cover!$G$4</f>
        <v>Dương Thị Ngọc Ánh</v>
      </c>
      <c r="J10" s="5"/>
    </row>
    <row r="11" spans="1:10" ht="62.5" x14ac:dyDescent="0.35">
      <c r="A11" s="6" t="s">
        <v>44</v>
      </c>
      <c r="B11" s="5" t="s">
        <v>469</v>
      </c>
      <c r="C11" s="5"/>
      <c r="D11" s="5" t="s">
        <v>387</v>
      </c>
      <c r="E11" s="5" t="s">
        <v>75</v>
      </c>
      <c r="F11" s="5" t="s">
        <v>505</v>
      </c>
      <c r="G11" s="9" t="s">
        <v>19</v>
      </c>
      <c r="H11" s="5"/>
      <c r="I11" s="5" t="str">
        <f>Cover!$G$4</f>
        <v>Dương Thị Ngọc Ánh</v>
      </c>
      <c r="J11" s="5"/>
    </row>
    <row r="12" spans="1:10" ht="25" x14ac:dyDescent="0.35">
      <c r="A12" s="6" t="s">
        <v>45</v>
      </c>
      <c r="B12" s="5" t="s">
        <v>470</v>
      </c>
      <c r="C12" s="5"/>
      <c r="D12" s="5" t="s">
        <v>359</v>
      </c>
      <c r="E12" s="5" t="s">
        <v>75</v>
      </c>
      <c r="F12" s="5" t="s">
        <v>506</v>
      </c>
      <c r="G12" s="9" t="s">
        <v>19</v>
      </c>
      <c r="H12" s="5"/>
      <c r="I12" s="5" t="str">
        <f>Cover!$G$4</f>
        <v>Dương Thị Ngọc Ánh</v>
      </c>
      <c r="J12" s="5"/>
    </row>
    <row r="13" spans="1:10" ht="25" x14ac:dyDescent="0.35">
      <c r="A13" s="6" t="s">
        <v>46</v>
      </c>
      <c r="B13" s="5" t="s">
        <v>471</v>
      </c>
      <c r="C13" s="5"/>
      <c r="D13" s="5" t="s">
        <v>360</v>
      </c>
      <c r="E13" s="5" t="s">
        <v>75</v>
      </c>
      <c r="F13" s="5" t="s">
        <v>507</v>
      </c>
      <c r="G13" s="9" t="s">
        <v>19</v>
      </c>
      <c r="H13" s="5"/>
      <c r="I13" s="5" t="str">
        <f>Cover!$G$4</f>
        <v>Dương Thị Ngọc Ánh</v>
      </c>
      <c r="J13" s="5"/>
    </row>
    <row r="14" spans="1:10" ht="62.5" x14ac:dyDescent="0.35">
      <c r="A14" s="6" t="s">
        <v>47</v>
      </c>
      <c r="B14" s="5" t="s">
        <v>472</v>
      </c>
      <c r="C14" s="5"/>
      <c r="D14" s="5" t="s">
        <v>361</v>
      </c>
      <c r="E14" s="5" t="s">
        <v>75</v>
      </c>
      <c r="F14" s="5" t="s">
        <v>508</v>
      </c>
      <c r="G14" s="9" t="s">
        <v>19</v>
      </c>
      <c r="H14" s="5"/>
      <c r="I14" s="5" t="str">
        <f>Cover!$G$4</f>
        <v>Dương Thị Ngọc Ánh</v>
      </c>
      <c r="J14" s="5"/>
    </row>
    <row r="15" spans="1:10" ht="25" x14ac:dyDescent="0.35">
      <c r="A15" s="6" t="s">
        <v>48</v>
      </c>
      <c r="B15" s="5" t="s">
        <v>473</v>
      </c>
      <c r="C15" s="5"/>
      <c r="D15" s="5" t="s">
        <v>360</v>
      </c>
      <c r="E15" s="5" t="s">
        <v>75</v>
      </c>
      <c r="F15" s="5" t="s">
        <v>509</v>
      </c>
      <c r="G15" s="9" t="s">
        <v>19</v>
      </c>
      <c r="H15" s="5"/>
      <c r="I15" s="5" t="str">
        <f>Cover!$G$4</f>
        <v>Dương Thị Ngọc Ánh</v>
      </c>
      <c r="J15" s="5"/>
    </row>
    <row r="16" spans="1:10" ht="62.5" x14ac:dyDescent="0.35">
      <c r="A16" s="6" t="s">
        <v>49</v>
      </c>
      <c r="B16" s="5" t="s">
        <v>474</v>
      </c>
      <c r="C16" s="5"/>
      <c r="D16" s="5" t="s">
        <v>361</v>
      </c>
      <c r="E16" s="5" t="s">
        <v>75</v>
      </c>
      <c r="F16" s="5" t="s">
        <v>510</v>
      </c>
      <c r="G16" s="9" t="s">
        <v>19</v>
      </c>
      <c r="H16" s="5"/>
      <c r="I16" s="5" t="str">
        <f>Cover!$G$4</f>
        <v>Dương Thị Ngọc Ánh</v>
      </c>
      <c r="J16" s="5"/>
    </row>
    <row r="17" spans="1:10" ht="25" x14ac:dyDescent="0.35">
      <c r="A17" s="6" t="s">
        <v>50</v>
      </c>
      <c r="B17" s="5" t="s">
        <v>475</v>
      </c>
      <c r="C17" s="5"/>
      <c r="D17" s="5" t="s">
        <v>360</v>
      </c>
      <c r="E17" s="5" t="s">
        <v>75</v>
      </c>
      <c r="F17" s="5" t="s">
        <v>511</v>
      </c>
      <c r="G17" s="9" t="s">
        <v>19</v>
      </c>
      <c r="H17" s="5"/>
      <c r="I17" s="5" t="str">
        <f>Cover!$G$4</f>
        <v>Dương Thị Ngọc Ánh</v>
      </c>
      <c r="J17" s="5"/>
    </row>
    <row r="18" spans="1:10" ht="50" x14ac:dyDescent="0.35">
      <c r="A18" s="6" t="s">
        <v>52</v>
      </c>
      <c r="B18" s="5" t="s">
        <v>476</v>
      </c>
      <c r="C18" s="5"/>
      <c r="D18" s="5" t="s">
        <v>364</v>
      </c>
      <c r="E18" s="5" t="s">
        <v>75</v>
      </c>
      <c r="F18" s="5" t="s">
        <v>512</v>
      </c>
      <c r="G18" s="9" t="s">
        <v>19</v>
      </c>
      <c r="H18" s="5"/>
      <c r="I18" s="5" t="str">
        <f>Cover!$G$4</f>
        <v>Dương Thị Ngọc Ánh</v>
      </c>
      <c r="J18" s="5"/>
    </row>
    <row r="19" spans="1:10" ht="25" x14ac:dyDescent="0.35">
      <c r="A19" s="6" t="s">
        <v>53</v>
      </c>
      <c r="B19" s="5" t="s">
        <v>477</v>
      </c>
      <c r="C19" s="5"/>
      <c r="D19" s="5" t="s">
        <v>494</v>
      </c>
      <c r="E19" s="5" t="s">
        <v>75</v>
      </c>
      <c r="F19" s="5" t="s">
        <v>513</v>
      </c>
      <c r="G19" s="9" t="s">
        <v>19</v>
      </c>
      <c r="H19" s="5"/>
      <c r="I19" s="5" t="str">
        <f>Cover!$G$4</f>
        <v>Dương Thị Ngọc Ánh</v>
      </c>
      <c r="J19" s="5"/>
    </row>
    <row r="20" spans="1:10" ht="37.5" x14ac:dyDescent="0.35">
      <c r="A20" s="6" t="s">
        <v>54</v>
      </c>
      <c r="B20" s="5" t="s">
        <v>478</v>
      </c>
      <c r="C20" s="5"/>
      <c r="D20" s="5" t="s">
        <v>495</v>
      </c>
      <c r="E20" s="5" t="s">
        <v>75</v>
      </c>
      <c r="F20" s="5" t="s">
        <v>393</v>
      </c>
      <c r="G20" s="9" t="s">
        <v>19</v>
      </c>
      <c r="H20" s="5"/>
      <c r="I20" s="5" t="str">
        <f>Cover!$G$4</f>
        <v>Dương Thị Ngọc Ánh</v>
      </c>
      <c r="J20" s="5"/>
    </row>
    <row r="21" spans="1:10" ht="25" x14ac:dyDescent="0.35">
      <c r="A21" s="6" t="s">
        <v>55</v>
      </c>
      <c r="B21" s="5" t="s">
        <v>353</v>
      </c>
      <c r="C21" s="5"/>
      <c r="D21" s="5" t="s">
        <v>360</v>
      </c>
      <c r="E21" s="5" t="s">
        <v>75</v>
      </c>
      <c r="F21" s="5" t="s">
        <v>514</v>
      </c>
      <c r="G21" s="9" t="s">
        <v>19</v>
      </c>
      <c r="H21" s="5"/>
      <c r="I21" s="5" t="str">
        <f>Cover!$G$4</f>
        <v>Dương Thị Ngọc Ánh</v>
      </c>
      <c r="J21" s="5"/>
    </row>
    <row r="22" spans="1:10" ht="25" x14ac:dyDescent="0.35">
      <c r="A22" s="6" t="s">
        <v>56</v>
      </c>
      <c r="B22" s="5" t="s">
        <v>354</v>
      </c>
      <c r="C22" s="5"/>
      <c r="D22" s="5" t="s">
        <v>364</v>
      </c>
      <c r="E22" s="5" t="s">
        <v>75</v>
      </c>
      <c r="F22" s="5" t="s">
        <v>515</v>
      </c>
      <c r="G22" s="9" t="s">
        <v>19</v>
      </c>
      <c r="H22" s="5"/>
      <c r="I22" s="5" t="str">
        <f>Cover!$G$4</f>
        <v>Dương Thị Ngọc Ánh</v>
      </c>
      <c r="J22" s="5"/>
    </row>
    <row r="23" spans="1:10" ht="37.5" x14ac:dyDescent="0.35">
      <c r="A23" s="6" t="s">
        <v>57</v>
      </c>
      <c r="B23" s="5" t="s">
        <v>355</v>
      </c>
      <c r="C23" s="5"/>
      <c r="D23" s="5" t="s">
        <v>365</v>
      </c>
      <c r="E23" s="5" t="s">
        <v>75</v>
      </c>
      <c r="F23" s="5" t="s">
        <v>516</v>
      </c>
      <c r="G23" s="9" t="s">
        <v>19</v>
      </c>
      <c r="H23" s="5"/>
      <c r="I23" s="5" t="str">
        <f>Cover!$G$4</f>
        <v>Dương Thị Ngọc Ánh</v>
      </c>
      <c r="J23" s="5"/>
    </row>
    <row r="24" spans="1:10" ht="25" x14ac:dyDescent="0.35">
      <c r="A24" s="6" t="s">
        <v>58</v>
      </c>
      <c r="B24" s="5" t="s">
        <v>356</v>
      </c>
      <c r="C24" s="5"/>
      <c r="D24" s="5" t="s">
        <v>496</v>
      </c>
      <c r="E24" s="5" t="s">
        <v>75</v>
      </c>
      <c r="F24" s="5" t="s">
        <v>517</v>
      </c>
      <c r="G24" s="9" t="s">
        <v>19</v>
      </c>
      <c r="H24" s="5"/>
      <c r="I24" s="5" t="str">
        <f>Cover!$G$4</f>
        <v>Dương Thị Ngọc Ánh</v>
      </c>
      <c r="J24" s="5"/>
    </row>
    <row r="25" spans="1:10" ht="25" x14ac:dyDescent="0.35">
      <c r="A25" s="6" t="s">
        <v>59</v>
      </c>
      <c r="B25" s="5" t="s">
        <v>479</v>
      </c>
      <c r="C25" s="5"/>
      <c r="D25" s="5" t="s">
        <v>359</v>
      </c>
      <c r="E25" s="5" t="s">
        <v>75</v>
      </c>
      <c r="F25" s="5" t="s">
        <v>518</v>
      </c>
      <c r="G25" s="9" t="s">
        <v>19</v>
      </c>
      <c r="H25" s="5"/>
      <c r="I25" s="5" t="str">
        <f>Cover!$G$4</f>
        <v>Dương Thị Ngọc Ánh</v>
      </c>
      <c r="J25" s="5"/>
    </row>
    <row r="26" spans="1:10" ht="37.5" x14ac:dyDescent="0.35">
      <c r="A26" s="6" t="s">
        <v>99</v>
      </c>
      <c r="B26" s="5" t="s">
        <v>480</v>
      </c>
      <c r="C26" s="5"/>
      <c r="D26" s="5" t="s">
        <v>360</v>
      </c>
      <c r="E26" s="5" t="s">
        <v>75</v>
      </c>
      <c r="F26" s="5" t="s">
        <v>519</v>
      </c>
      <c r="G26" s="9" t="s">
        <v>19</v>
      </c>
      <c r="H26" s="5"/>
      <c r="I26" s="5" t="str">
        <f>Cover!$G$4</f>
        <v>Dương Thị Ngọc Ánh</v>
      </c>
      <c r="J26" s="5"/>
    </row>
    <row r="27" spans="1:10" ht="25" x14ac:dyDescent="0.35">
      <c r="A27" s="6" t="s">
        <v>101</v>
      </c>
      <c r="B27" s="5" t="s">
        <v>481</v>
      </c>
      <c r="C27" s="5"/>
      <c r="D27" s="5" t="s">
        <v>364</v>
      </c>
      <c r="E27" s="5" t="s">
        <v>75</v>
      </c>
      <c r="F27" s="5" t="s">
        <v>520</v>
      </c>
      <c r="G27" s="9" t="s">
        <v>19</v>
      </c>
      <c r="H27" s="5"/>
      <c r="I27" s="5" t="str">
        <f>Cover!$G$4</f>
        <v>Dương Thị Ngọc Ánh</v>
      </c>
      <c r="J27" s="5"/>
    </row>
    <row r="28" spans="1:10" ht="37.5" x14ac:dyDescent="0.35">
      <c r="A28" s="6" t="s">
        <v>102</v>
      </c>
      <c r="B28" s="5" t="s">
        <v>482</v>
      </c>
      <c r="C28" s="5"/>
      <c r="D28" s="5" t="s">
        <v>497</v>
      </c>
      <c r="E28" s="5" t="s">
        <v>75</v>
      </c>
      <c r="F28" s="5" t="s">
        <v>521</v>
      </c>
      <c r="G28" s="9" t="s">
        <v>19</v>
      </c>
      <c r="H28" s="5"/>
      <c r="I28" s="5" t="str">
        <f>Cover!$G$4</f>
        <v>Dương Thị Ngọc Ánh</v>
      </c>
      <c r="J28" s="5"/>
    </row>
    <row r="29" spans="1:10" ht="37.5" x14ac:dyDescent="0.35">
      <c r="A29" s="6" t="s">
        <v>107</v>
      </c>
      <c r="B29" s="5" t="s">
        <v>483</v>
      </c>
      <c r="C29" s="5"/>
      <c r="D29" s="5" t="s">
        <v>498</v>
      </c>
      <c r="E29" s="5" t="s">
        <v>75</v>
      </c>
      <c r="F29" s="5" t="s">
        <v>522</v>
      </c>
      <c r="G29" s="9" t="s">
        <v>19</v>
      </c>
      <c r="H29" s="5"/>
      <c r="I29" s="5" t="str">
        <f>Cover!$G$4</f>
        <v>Dương Thị Ngọc Ánh</v>
      </c>
      <c r="J29" s="5"/>
    </row>
    <row r="30" spans="1:10" ht="25" x14ac:dyDescent="0.35">
      <c r="A30" s="6" t="s">
        <v>110</v>
      </c>
      <c r="B30" s="5" t="s">
        <v>484</v>
      </c>
      <c r="C30" s="5"/>
      <c r="D30" s="5" t="s">
        <v>499</v>
      </c>
      <c r="E30" s="5" t="s">
        <v>75</v>
      </c>
      <c r="F30" s="5" t="s">
        <v>523</v>
      </c>
      <c r="G30" s="9" t="s">
        <v>19</v>
      </c>
      <c r="H30" s="5"/>
      <c r="I30" s="5" t="str">
        <f>Cover!$G$4</f>
        <v>Dương Thị Ngọc Ánh</v>
      </c>
      <c r="J30" s="5"/>
    </row>
    <row r="31" spans="1:10" ht="37.5" x14ac:dyDescent="0.35">
      <c r="A31" s="6" t="s">
        <v>115</v>
      </c>
      <c r="B31" s="5" t="s">
        <v>485</v>
      </c>
      <c r="C31" s="5"/>
      <c r="D31" s="5" t="s">
        <v>364</v>
      </c>
      <c r="E31" s="5" t="s">
        <v>75</v>
      </c>
      <c r="F31" s="5" t="s">
        <v>524</v>
      </c>
      <c r="G31" s="9" t="s">
        <v>19</v>
      </c>
      <c r="H31" s="5"/>
      <c r="I31" s="5" t="str">
        <f>Cover!$G$4</f>
        <v>Dương Thị Ngọc Ánh</v>
      </c>
      <c r="J31" s="5"/>
    </row>
    <row r="32" spans="1:10" ht="50" x14ac:dyDescent="0.35">
      <c r="A32" s="6" t="s">
        <v>118</v>
      </c>
      <c r="B32" s="5" t="s">
        <v>486</v>
      </c>
      <c r="C32" s="5"/>
      <c r="D32" s="5" t="s">
        <v>364</v>
      </c>
      <c r="E32" s="5" t="s">
        <v>75</v>
      </c>
      <c r="F32" s="5" t="s">
        <v>525</v>
      </c>
      <c r="G32" s="9" t="s">
        <v>19</v>
      </c>
      <c r="H32" s="5"/>
      <c r="I32" s="5" t="str">
        <f>Cover!$G$4</f>
        <v>Dương Thị Ngọc Ánh</v>
      </c>
      <c r="J32" s="5"/>
    </row>
    <row r="33" spans="1:10" ht="50" x14ac:dyDescent="0.35">
      <c r="A33" s="6" t="s">
        <v>122</v>
      </c>
      <c r="B33" s="5" t="s">
        <v>487</v>
      </c>
      <c r="C33" s="5"/>
      <c r="D33" s="5" t="s">
        <v>364</v>
      </c>
      <c r="E33" s="5" t="s">
        <v>75</v>
      </c>
      <c r="F33" s="5" t="s">
        <v>526</v>
      </c>
      <c r="G33" s="9" t="s">
        <v>19</v>
      </c>
      <c r="H33" s="5"/>
      <c r="I33" s="5" t="str">
        <f>Cover!$G$4</f>
        <v>Dương Thị Ngọc Ánh</v>
      </c>
      <c r="J33" s="5"/>
    </row>
    <row r="34" spans="1:10" ht="50" x14ac:dyDescent="0.35">
      <c r="A34" s="6" t="s">
        <v>124</v>
      </c>
      <c r="B34" s="5" t="s">
        <v>488</v>
      </c>
      <c r="C34" s="5"/>
      <c r="D34" s="5" t="s">
        <v>500</v>
      </c>
      <c r="E34" s="5" t="s">
        <v>75</v>
      </c>
      <c r="F34" s="5" t="s">
        <v>527</v>
      </c>
      <c r="G34" s="9" t="s">
        <v>19</v>
      </c>
      <c r="H34" s="5"/>
      <c r="I34" s="5" t="str">
        <f>Cover!$G$4</f>
        <v>Dương Thị Ngọc Ánh</v>
      </c>
      <c r="J34" s="5"/>
    </row>
    <row r="35" spans="1:10" ht="50" x14ac:dyDescent="0.35">
      <c r="A35" s="6" t="s">
        <v>125</v>
      </c>
      <c r="B35" s="5" t="s">
        <v>489</v>
      </c>
      <c r="C35" s="5"/>
      <c r="D35" s="5" t="s">
        <v>501</v>
      </c>
      <c r="E35" s="5" t="s">
        <v>75</v>
      </c>
      <c r="F35" s="5" t="s">
        <v>528</v>
      </c>
      <c r="G35" s="9" t="s">
        <v>19</v>
      </c>
      <c r="H35" s="5"/>
      <c r="I35" s="5" t="str">
        <f>Cover!$G$4</f>
        <v>Dương Thị Ngọc Ánh</v>
      </c>
      <c r="J35" s="5"/>
    </row>
    <row r="36" spans="1:10" ht="50" x14ac:dyDescent="0.35">
      <c r="A36" s="6" t="s">
        <v>126</v>
      </c>
      <c r="B36" s="5" t="s">
        <v>490</v>
      </c>
      <c r="C36" s="5"/>
      <c r="D36" s="5" t="s">
        <v>502</v>
      </c>
      <c r="E36" s="5" t="s">
        <v>75</v>
      </c>
      <c r="F36" s="5" t="s">
        <v>529</v>
      </c>
      <c r="G36" s="9" t="s">
        <v>19</v>
      </c>
      <c r="H36" s="5"/>
      <c r="I36" s="5" t="str">
        <f>Cover!$G$4</f>
        <v>Dương Thị Ngọc Ánh</v>
      </c>
      <c r="J36" s="5"/>
    </row>
    <row r="37" spans="1:10" ht="37.5" x14ac:dyDescent="0.35">
      <c r="A37" s="6" t="s">
        <v>127</v>
      </c>
      <c r="B37" s="5" t="s">
        <v>491</v>
      </c>
      <c r="C37" s="5"/>
      <c r="D37" s="5" t="s">
        <v>503</v>
      </c>
      <c r="E37" s="5" t="s">
        <v>75</v>
      </c>
      <c r="F37" s="5" t="s">
        <v>530</v>
      </c>
      <c r="G37" s="9" t="s">
        <v>19</v>
      </c>
      <c r="H37" s="5"/>
      <c r="I37" s="5" t="str">
        <f>Cover!$G$4</f>
        <v>Dương Thị Ngọc Ánh</v>
      </c>
      <c r="J37" s="5"/>
    </row>
    <row r="38" spans="1:10" ht="25" x14ac:dyDescent="0.35">
      <c r="A38" s="6" t="s">
        <v>128</v>
      </c>
      <c r="B38" s="5" t="s">
        <v>492</v>
      </c>
      <c r="C38" s="5"/>
      <c r="D38" s="5" t="s">
        <v>360</v>
      </c>
      <c r="E38" s="5" t="s">
        <v>75</v>
      </c>
      <c r="F38" s="5" t="s">
        <v>531</v>
      </c>
      <c r="G38" s="9" t="s">
        <v>19</v>
      </c>
      <c r="H38" s="5"/>
      <c r="I38" s="5" t="str">
        <f>Cover!$G$4</f>
        <v>Dương Thị Ngọc Ánh</v>
      </c>
      <c r="J38" s="5"/>
    </row>
    <row r="39" spans="1:10" ht="37.5" x14ac:dyDescent="0.35">
      <c r="A39" s="6" t="s">
        <v>129</v>
      </c>
      <c r="B39" s="5" t="s">
        <v>493</v>
      </c>
      <c r="C39" s="5"/>
      <c r="D39" s="5" t="s">
        <v>503</v>
      </c>
      <c r="E39" s="5" t="s">
        <v>75</v>
      </c>
      <c r="F39" s="5" t="s">
        <v>532</v>
      </c>
      <c r="G39" s="9" t="s">
        <v>19</v>
      </c>
      <c r="H39" s="5"/>
      <c r="I39" s="5" t="str">
        <f>Cover!$G$4</f>
        <v>Dương Thị Ngọc Ánh</v>
      </c>
      <c r="J39" s="5"/>
    </row>
    <row r="40" spans="1:10" ht="187.5" x14ac:dyDescent="0.35">
      <c r="A40" s="6" t="s">
        <v>130</v>
      </c>
      <c r="B40" s="5" t="s">
        <v>273</v>
      </c>
      <c r="C40" s="5"/>
      <c r="D40" s="5" t="s">
        <v>279</v>
      </c>
      <c r="E40" s="5" t="s">
        <v>274</v>
      </c>
      <c r="F40" s="5" t="s">
        <v>275</v>
      </c>
      <c r="G40" s="9" t="s">
        <v>19</v>
      </c>
      <c r="H40" s="5"/>
      <c r="I40" s="5" t="str">
        <f>Cover!$G$4</f>
        <v>Dương Thị Ngọc Ánh</v>
      </c>
      <c r="J40" s="5"/>
    </row>
    <row r="41" spans="1:10" ht="175" x14ac:dyDescent="0.35">
      <c r="A41" s="6" t="s">
        <v>131</v>
      </c>
      <c r="B41" s="5" t="s">
        <v>276</v>
      </c>
      <c r="C41" s="5" t="s">
        <v>65</v>
      </c>
      <c r="D41" s="5" t="s">
        <v>278</v>
      </c>
      <c r="E41" s="5" t="s">
        <v>277</v>
      </c>
      <c r="F41" s="5" t="s">
        <v>280</v>
      </c>
      <c r="G41" s="9" t="s">
        <v>19</v>
      </c>
      <c r="H41" s="5"/>
      <c r="I41" s="5" t="str">
        <f>Cover!$G$4</f>
        <v>Dương Thị Ngọc Ánh</v>
      </c>
      <c r="J41" s="5"/>
    </row>
    <row r="42" spans="1:10" ht="110.5" customHeight="1" x14ac:dyDescent="0.35">
      <c r="A42" s="6" t="s">
        <v>133</v>
      </c>
      <c r="B42" s="5" t="s">
        <v>281</v>
      </c>
      <c r="C42" s="5"/>
      <c r="D42" s="5" t="s">
        <v>283</v>
      </c>
      <c r="E42" s="26" t="s">
        <v>533</v>
      </c>
      <c r="F42" s="5" t="s">
        <v>285</v>
      </c>
      <c r="G42" s="9" t="s">
        <v>19</v>
      </c>
      <c r="H42" s="5"/>
      <c r="I42" s="5" t="str">
        <f>Cover!$G$4</f>
        <v>Dương Thị Ngọc Ánh</v>
      </c>
      <c r="J42" s="5"/>
    </row>
    <row r="43" spans="1:10" ht="104.5" customHeight="1" x14ac:dyDescent="0.35">
      <c r="A43" s="6" t="s">
        <v>134</v>
      </c>
      <c r="B43" s="5" t="s">
        <v>282</v>
      </c>
      <c r="C43" s="5"/>
      <c r="D43" s="5" t="s">
        <v>284</v>
      </c>
      <c r="E43" s="26" t="s">
        <v>534</v>
      </c>
      <c r="F43" s="5" t="s">
        <v>286</v>
      </c>
      <c r="G43" s="9" t="s">
        <v>20</v>
      </c>
      <c r="H43" s="5"/>
      <c r="I43" s="5" t="str">
        <f>Cover!$G$4</f>
        <v>Dương Thị Ngọc Ánh</v>
      </c>
      <c r="J43" s="26" t="s">
        <v>535</v>
      </c>
    </row>
    <row r="44" spans="1:10" ht="142" customHeight="1" x14ac:dyDescent="0.35">
      <c r="A44" s="6" t="s">
        <v>135</v>
      </c>
      <c r="B44" s="5" t="s">
        <v>287</v>
      </c>
      <c r="C44" s="5"/>
      <c r="D44" s="5" t="s">
        <v>289</v>
      </c>
      <c r="E44" s="26" t="s">
        <v>536</v>
      </c>
      <c r="F44" s="5" t="s">
        <v>288</v>
      </c>
      <c r="G44" s="9" t="s">
        <v>19</v>
      </c>
      <c r="H44" s="5"/>
      <c r="I44" s="5" t="str">
        <f>Cover!$G$4</f>
        <v>Dương Thị Ngọc Ánh</v>
      </c>
      <c r="J44" s="5"/>
    </row>
    <row r="45" spans="1:10" ht="117" customHeight="1" x14ac:dyDescent="0.35">
      <c r="A45" s="6" t="s">
        <v>136</v>
      </c>
      <c r="B45" s="5" t="s">
        <v>290</v>
      </c>
      <c r="C45" s="5"/>
      <c r="D45" s="5" t="s">
        <v>293</v>
      </c>
      <c r="E45" s="26" t="s">
        <v>537</v>
      </c>
      <c r="F45" s="5" t="s">
        <v>291</v>
      </c>
      <c r="G45" s="9" t="s">
        <v>19</v>
      </c>
      <c r="H45" s="5"/>
      <c r="I45" s="5" t="str">
        <f>Cover!$G$4</f>
        <v>Dương Thị Ngọc Ánh</v>
      </c>
      <c r="J45" s="5"/>
    </row>
    <row r="46" spans="1:10" ht="120.5" customHeight="1" x14ac:dyDescent="0.35">
      <c r="A46" s="6" t="s">
        <v>137</v>
      </c>
      <c r="B46" s="5" t="s">
        <v>292</v>
      </c>
      <c r="C46" s="5"/>
      <c r="D46" s="5" t="s">
        <v>293</v>
      </c>
      <c r="E46" s="26" t="s">
        <v>538</v>
      </c>
      <c r="F46" s="5" t="s">
        <v>291</v>
      </c>
      <c r="G46" s="9" t="s">
        <v>19</v>
      </c>
      <c r="H46" s="5"/>
      <c r="I46" s="5" t="str">
        <f>Cover!$G$4</f>
        <v>Dương Thị Ngọc Ánh</v>
      </c>
      <c r="J46" s="5"/>
    </row>
    <row r="47" spans="1:10" ht="125" x14ac:dyDescent="0.35">
      <c r="A47" s="6" t="s">
        <v>138</v>
      </c>
      <c r="B47" s="5" t="s">
        <v>294</v>
      </c>
      <c r="C47" s="5"/>
      <c r="D47" s="5" t="s">
        <v>293</v>
      </c>
      <c r="E47" s="26" t="s">
        <v>539</v>
      </c>
      <c r="F47" s="5" t="s">
        <v>295</v>
      </c>
      <c r="G47" s="9" t="s">
        <v>20</v>
      </c>
      <c r="H47" s="5"/>
      <c r="I47" s="5" t="str">
        <f>Cover!$G$4</f>
        <v>Dương Thị Ngọc Ánh</v>
      </c>
      <c r="J47" s="26" t="s">
        <v>535</v>
      </c>
    </row>
    <row r="48" spans="1:10" ht="62.5" x14ac:dyDescent="0.35">
      <c r="A48" s="6" t="s">
        <v>139</v>
      </c>
      <c r="B48" s="5" t="s">
        <v>296</v>
      </c>
      <c r="C48" s="26" t="s">
        <v>540</v>
      </c>
      <c r="D48" s="5" t="s">
        <v>297</v>
      </c>
      <c r="E48" s="26" t="s">
        <v>542</v>
      </c>
      <c r="F48" s="5" t="s">
        <v>298</v>
      </c>
      <c r="G48" s="9" t="s">
        <v>20</v>
      </c>
      <c r="H48" s="5"/>
      <c r="I48" s="5" t="str">
        <f>Cover!$G$4</f>
        <v>Dương Thị Ngọc Ánh</v>
      </c>
      <c r="J48" s="26" t="s">
        <v>541</v>
      </c>
    </row>
    <row r="49" spans="1:10" ht="75" x14ac:dyDescent="0.35">
      <c r="A49" s="6" t="s">
        <v>123</v>
      </c>
      <c r="B49" s="5" t="s">
        <v>299</v>
      </c>
      <c r="C49" s="5"/>
      <c r="D49" s="26" t="s">
        <v>546</v>
      </c>
      <c r="E49" s="26" t="s">
        <v>544</v>
      </c>
      <c r="F49" s="26" t="s">
        <v>545</v>
      </c>
      <c r="G49" s="9" t="s">
        <v>20</v>
      </c>
      <c r="H49" s="5"/>
      <c r="I49" s="5" t="str">
        <f>Cover!$G$4</f>
        <v>Dương Thị Ngọc Ánh</v>
      </c>
      <c r="J49" s="26" t="s">
        <v>543</v>
      </c>
    </row>
    <row r="50" spans="1:10" ht="62.5" x14ac:dyDescent="0.35">
      <c r="A50" s="6" t="s">
        <v>184</v>
      </c>
      <c r="B50" s="5" t="s">
        <v>301</v>
      </c>
      <c r="C50" s="5"/>
      <c r="D50" s="5" t="s">
        <v>307</v>
      </c>
      <c r="E50" s="5" t="s">
        <v>300</v>
      </c>
      <c r="F50" s="5" t="s">
        <v>302</v>
      </c>
      <c r="G50" s="9" t="s">
        <v>19</v>
      </c>
      <c r="H50" s="5"/>
      <c r="I50" s="5" t="str">
        <f>Cover!$G$4</f>
        <v>Dương Thị Ngọc Ánh</v>
      </c>
      <c r="J50" s="5"/>
    </row>
    <row r="51" spans="1:10" ht="62.5" x14ac:dyDescent="0.35">
      <c r="A51" s="6" t="s">
        <v>185</v>
      </c>
      <c r="B51" s="5" t="s">
        <v>303</v>
      </c>
      <c r="C51" s="5"/>
      <c r="D51" s="5" t="s">
        <v>305</v>
      </c>
      <c r="E51" s="5" t="s">
        <v>304</v>
      </c>
      <c r="F51" s="5" t="s">
        <v>306</v>
      </c>
      <c r="G51" s="9" t="s">
        <v>20</v>
      </c>
      <c r="H51" s="5"/>
      <c r="I51" s="5" t="str">
        <f>Cover!$G$4</f>
        <v>Dương Thị Ngọc Ánh</v>
      </c>
      <c r="J51" s="26" t="s">
        <v>543</v>
      </c>
    </row>
    <row r="52" spans="1:10" ht="98" customHeight="1" x14ac:dyDescent="0.35">
      <c r="A52" s="6" t="s">
        <v>187</v>
      </c>
      <c r="B52" s="5" t="s">
        <v>308</v>
      </c>
      <c r="C52" s="5"/>
      <c r="D52" s="5" t="s">
        <v>309</v>
      </c>
      <c r="E52" s="5"/>
      <c r="F52" s="26" t="s">
        <v>310</v>
      </c>
      <c r="G52" s="9" t="s">
        <v>19</v>
      </c>
      <c r="H52" s="5"/>
      <c r="I52" s="5" t="str">
        <f>Cover!$G$4</f>
        <v>Dương Thị Ngọc Ánh</v>
      </c>
      <c r="J52" s="5"/>
    </row>
    <row r="53" spans="1:10" ht="69" customHeight="1" x14ac:dyDescent="0.35">
      <c r="A53" s="6" t="s">
        <v>188</v>
      </c>
      <c r="B53" s="5" t="s">
        <v>311</v>
      </c>
      <c r="C53" s="5"/>
      <c r="D53" s="26" t="s">
        <v>312</v>
      </c>
      <c r="E53" s="5"/>
      <c r="F53" s="26" t="s">
        <v>313</v>
      </c>
      <c r="G53" s="9" t="s">
        <v>19</v>
      </c>
      <c r="H53" s="5"/>
      <c r="I53" s="5" t="str">
        <f>Cover!$G$4</f>
        <v>Dương Thị Ngọc Ánh</v>
      </c>
      <c r="J53" s="5"/>
    </row>
    <row r="54" spans="1:10" ht="47.5" customHeight="1" x14ac:dyDescent="0.35">
      <c r="A54" s="6" t="s">
        <v>189</v>
      </c>
      <c r="B54" s="5" t="s">
        <v>314</v>
      </c>
      <c r="C54" s="5"/>
      <c r="D54" s="5" t="s">
        <v>315</v>
      </c>
      <c r="E54" s="5"/>
      <c r="F54" s="26" t="s">
        <v>316</v>
      </c>
      <c r="G54" s="9" t="s">
        <v>19</v>
      </c>
      <c r="H54" s="5"/>
      <c r="I54" s="5" t="str">
        <f>Cover!$G$4</f>
        <v>Dương Thị Ngọc Ánh</v>
      </c>
      <c r="J54" s="5"/>
    </row>
    <row r="55" spans="1:10" ht="44" customHeight="1" x14ac:dyDescent="0.35">
      <c r="A55" s="6" t="s">
        <v>190</v>
      </c>
      <c r="B55" s="5" t="s">
        <v>317</v>
      </c>
      <c r="C55" s="5"/>
      <c r="D55" s="5" t="s">
        <v>318</v>
      </c>
      <c r="E55" s="5"/>
      <c r="F55" s="5" t="s">
        <v>319</v>
      </c>
      <c r="G55" s="9" t="s">
        <v>19</v>
      </c>
      <c r="H55" s="5"/>
      <c r="I55" s="5" t="str">
        <f>Cover!$G$4</f>
        <v>Dương Thị Ngọc Ánh</v>
      </c>
      <c r="J55" s="5"/>
    </row>
    <row r="56" spans="1:10" ht="87.5" x14ac:dyDescent="0.35">
      <c r="A56" s="6" t="s">
        <v>192</v>
      </c>
      <c r="B56" s="5" t="s">
        <v>320</v>
      </c>
      <c r="C56" s="5"/>
      <c r="D56" s="26" t="s">
        <v>547</v>
      </c>
      <c r="E56" s="5"/>
      <c r="F56" s="26" t="s">
        <v>321</v>
      </c>
      <c r="G56" s="9" t="s">
        <v>20</v>
      </c>
      <c r="H56" s="5"/>
      <c r="I56" s="5" t="str">
        <f>Cover!$G$4</f>
        <v>Dương Thị Ngọc Ánh</v>
      </c>
      <c r="J56" s="26" t="s">
        <v>548</v>
      </c>
    </row>
    <row r="57" spans="1:10" ht="107" customHeight="1" x14ac:dyDescent="0.35">
      <c r="A57" s="6" t="s">
        <v>193</v>
      </c>
      <c r="B57" s="5" t="s">
        <v>322</v>
      </c>
      <c r="C57" s="5" t="s">
        <v>323</v>
      </c>
      <c r="D57" s="5" t="s">
        <v>324</v>
      </c>
      <c r="E57" s="5"/>
      <c r="F57" s="5" t="s">
        <v>319</v>
      </c>
      <c r="G57" s="9" t="s">
        <v>455</v>
      </c>
      <c r="H57" s="5"/>
      <c r="I57" s="5" t="str">
        <f>Cover!$G$4</f>
        <v>Dương Thị Ngọc Ánh</v>
      </c>
      <c r="J57" s="5"/>
    </row>
    <row r="58" spans="1:10" ht="100" x14ac:dyDescent="0.35">
      <c r="A58" s="6" t="s">
        <v>196</v>
      </c>
      <c r="B58" s="5" t="s">
        <v>325</v>
      </c>
      <c r="C58" s="5"/>
      <c r="D58" s="5" t="s">
        <v>327</v>
      </c>
      <c r="E58" s="26" t="s">
        <v>326</v>
      </c>
      <c r="F58" s="26" t="s">
        <v>328</v>
      </c>
      <c r="G58" s="9" t="s">
        <v>19</v>
      </c>
      <c r="H58" s="5"/>
      <c r="I58" s="5" t="str">
        <f>Cover!$G$4</f>
        <v>Dương Thị Ngọc Ánh</v>
      </c>
      <c r="J58" s="5"/>
    </row>
    <row r="59" spans="1:10" ht="136.5" customHeight="1" x14ac:dyDescent="0.35">
      <c r="A59" s="6" t="s">
        <v>196</v>
      </c>
      <c r="B59" s="26" t="s">
        <v>331</v>
      </c>
      <c r="C59" s="5"/>
      <c r="D59" s="26" t="s">
        <v>332</v>
      </c>
      <c r="E59" s="26" t="s">
        <v>329</v>
      </c>
      <c r="F59" s="26" t="s">
        <v>333</v>
      </c>
      <c r="G59" s="9" t="s">
        <v>19</v>
      </c>
      <c r="H59" s="5"/>
      <c r="I59" s="5" t="str">
        <f>Cover!$G$4</f>
        <v>Dương Thị Ngọc Ánh</v>
      </c>
      <c r="J59" s="5"/>
    </row>
    <row r="60" spans="1:10" ht="157.5" customHeight="1" x14ac:dyDescent="0.35">
      <c r="A60" s="6" t="s">
        <v>342</v>
      </c>
      <c r="B60" s="5" t="s">
        <v>176</v>
      </c>
      <c r="C60" s="5"/>
      <c r="D60" s="26" t="s">
        <v>334</v>
      </c>
      <c r="E60" s="26" t="s">
        <v>330</v>
      </c>
      <c r="F60" s="5" t="s">
        <v>335</v>
      </c>
      <c r="G60" s="9" t="s">
        <v>19</v>
      </c>
      <c r="H60" s="5"/>
      <c r="I60" s="5" t="str">
        <f>Cover!$G$4</f>
        <v>Dương Thị Ngọc Ánh</v>
      </c>
      <c r="J60" s="5"/>
    </row>
  </sheetData>
  <mergeCells count="3">
    <mergeCell ref="B1:E1"/>
    <mergeCell ref="B2:E2"/>
    <mergeCell ref="B3:E3"/>
  </mergeCells>
  <conditionalFormatting sqref="G10:G58 F61 G60">
    <cfRule type="cellIs" dxfId="5" priority="4" operator="equal">
      <formula>"N/A"</formula>
    </cfRule>
    <cfRule type="cellIs" dxfId="4" priority="5" operator="equal">
      <formula>"Fail"</formula>
    </cfRule>
    <cfRule type="cellIs" dxfId="3" priority="6" operator="equal">
      <formula>"Pass"</formula>
    </cfRule>
  </conditionalFormatting>
  <conditionalFormatting sqref="G59">
    <cfRule type="cellIs" dxfId="2" priority="1" operator="equal">
      <formula>"N/A"</formula>
    </cfRule>
    <cfRule type="cellIs" dxfId="1" priority="2" operator="equal">
      <formula>"Fail"</formula>
    </cfRule>
    <cfRule type="cellIs" dxfId="0" priority="3" operator="equal">
      <formula>"Pass"</formula>
    </cfRule>
  </conditionalFormatting>
  <dataValidations count="1">
    <dataValidation type="list" allowBlank="1" sqref="G10:G60">
      <formula1>"Pass,Fail,Untested,N/A"</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TestReport</vt:lpstr>
      <vt:lpstr>Test QuanLyChiNhanh</vt:lpstr>
      <vt:lpstr>Test QuanLyThuongHieu</vt:lpstr>
      <vt:lpstr>Test QuanLyKho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2026-09-27T10:17:00Z</dcterms:created>
  <dcterms:modified xsi:type="dcterms:W3CDTF">2026-10-04T15:39:25Z</dcterms:modified>
  <dc:language>en-US</dc:language>
</cp:coreProperties>
</file>